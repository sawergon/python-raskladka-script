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x\PycharmProjects\test\"/>
    </mc:Choice>
  </mc:AlternateContent>
  <bookViews>
    <workbookView xWindow="0" yWindow="0" windowWidth="23040" windowHeight="8820" activeTab="2"/>
  </bookViews>
  <sheets>
    <sheet name="Билеты, маршрут" sheetId="1" r:id="rId1"/>
    <sheet name="Финансы" sheetId="2" r:id="rId2"/>
    <sheet name="Раскладка" sheetId="3" r:id="rId3"/>
    <sheet name="Ремнабор" sheetId="4" r:id="rId4"/>
    <sheet name="Берлога снаряженца" sheetId="5" r:id="rId5"/>
    <sheet name="Вес ЛС образец" sheetId="6" r:id="rId6"/>
    <sheet name="Александр вес ЛС" sheetId="7" r:id="rId7"/>
    <sheet name="Николай вес ЛС" sheetId="8" r:id="rId8"/>
    <sheet name="Алиса вес ЛС" sheetId="9" r:id="rId9"/>
  </sheets>
  <calcPr calcId="162913"/>
</workbook>
</file>

<file path=xl/calcChain.xml><?xml version="1.0" encoding="utf-8"?>
<calcChain xmlns="http://schemas.openxmlformats.org/spreadsheetml/2006/main">
  <c r="G108" i="9" l="1"/>
  <c r="E108" i="9"/>
  <c r="G107" i="9"/>
  <c r="E107" i="9"/>
  <c r="G106" i="9"/>
  <c r="E106" i="9"/>
  <c r="G105" i="9"/>
  <c r="E105" i="9"/>
  <c r="G104" i="9"/>
  <c r="E104" i="9"/>
  <c r="G103" i="9"/>
  <c r="E103" i="9"/>
  <c r="G102" i="9"/>
  <c r="E102" i="9"/>
  <c r="G101" i="9"/>
  <c r="E101" i="9"/>
  <c r="G100" i="9"/>
  <c r="E100" i="9"/>
  <c r="G99" i="9"/>
  <c r="E99" i="9"/>
  <c r="G98" i="9"/>
  <c r="E98" i="9"/>
  <c r="G97" i="9"/>
  <c r="E97" i="9"/>
  <c r="G96" i="9"/>
  <c r="E96" i="9"/>
  <c r="G95" i="9"/>
  <c r="E95" i="9"/>
  <c r="G94" i="9"/>
  <c r="E94" i="9"/>
  <c r="G93" i="9"/>
  <c r="E93" i="9"/>
  <c r="G92" i="9"/>
  <c r="E92" i="9"/>
  <c r="G91" i="9"/>
  <c r="E91" i="9"/>
  <c r="G90" i="9"/>
  <c r="E90" i="9"/>
  <c r="G89" i="9"/>
  <c r="E89" i="9"/>
  <c r="G88" i="9"/>
  <c r="E88" i="9"/>
  <c r="G87" i="9"/>
  <c r="E87" i="9"/>
  <c r="G86" i="9"/>
  <c r="E86" i="9"/>
  <c r="G85" i="9"/>
  <c r="E85" i="9"/>
  <c r="G84" i="9"/>
  <c r="E84" i="9"/>
  <c r="G83" i="9"/>
  <c r="E83" i="9"/>
  <c r="G82" i="9"/>
  <c r="E82" i="9"/>
  <c r="C81" i="9"/>
  <c r="G81" i="9" s="1"/>
  <c r="C80" i="9"/>
  <c r="G80" i="9" s="1"/>
  <c r="E79" i="9"/>
  <c r="G78" i="9"/>
  <c r="E78" i="9"/>
  <c r="G77" i="9"/>
  <c r="E77" i="9"/>
  <c r="G76" i="9"/>
  <c r="E76" i="9"/>
  <c r="G75" i="9"/>
  <c r="E75" i="9"/>
  <c r="G74" i="9"/>
  <c r="E74" i="9"/>
  <c r="G73" i="9"/>
  <c r="E73" i="9"/>
  <c r="G72" i="9"/>
  <c r="E72" i="9"/>
  <c r="G71" i="9"/>
  <c r="E71" i="9"/>
  <c r="G70" i="9"/>
  <c r="E70" i="9"/>
  <c r="G69" i="9"/>
  <c r="E69" i="9"/>
  <c r="G68" i="9"/>
  <c r="E68" i="9"/>
  <c r="G67" i="9"/>
  <c r="E67" i="9"/>
  <c r="G66" i="9"/>
  <c r="E66" i="9"/>
  <c r="G65" i="9"/>
  <c r="E65" i="9"/>
  <c r="G64" i="9"/>
  <c r="E64" i="9"/>
  <c r="G63" i="9"/>
  <c r="E63" i="9"/>
  <c r="G62" i="9"/>
  <c r="E62" i="9"/>
  <c r="G61" i="9"/>
  <c r="E61" i="9"/>
  <c r="G60" i="9"/>
  <c r="E60" i="9"/>
  <c r="G59" i="9"/>
  <c r="E59" i="9"/>
  <c r="G58" i="9"/>
  <c r="E58" i="9"/>
  <c r="G57" i="9"/>
  <c r="E57" i="9"/>
  <c r="E56" i="9"/>
  <c r="E55" i="9"/>
  <c r="E54" i="9"/>
  <c r="E53" i="9"/>
  <c r="E52" i="9"/>
  <c r="G51" i="9"/>
  <c r="E51" i="9"/>
  <c r="G50" i="9"/>
  <c r="E50" i="9"/>
  <c r="G49" i="9"/>
  <c r="E49" i="9"/>
  <c r="G48" i="9"/>
  <c r="E48" i="9"/>
  <c r="G47" i="9"/>
  <c r="E47" i="9"/>
  <c r="G46" i="9"/>
  <c r="E46" i="9"/>
  <c r="G45" i="9"/>
  <c r="E45" i="9"/>
  <c r="G44" i="9"/>
  <c r="E44" i="9"/>
  <c r="G43" i="9"/>
  <c r="E43" i="9"/>
  <c r="G42" i="9"/>
  <c r="E42" i="9"/>
  <c r="G41" i="9"/>
  <c r="E41" i="9"/>
  <c r="G40" i="9"/>
  <c r="E40" i="9"/>
  <c r="G39" i="9"/>
  <c r="E39" i="9"/>
  <c r="G38" i="9"/>
  <c r="E38" i="9"/>
  <c r="G37" i="9"/>
  <c r="E37" i="9"/>
  <c r="G36" i="9"/>
  <c r="E36" i="9"/>
  <c r="G35" i="9"/>
  <c r="E35" i="9"/>
  <c r="G34" i="9"/>
  <c r="E34" i="9"/>
  <c r="G33" i="9"/>
  <c r="E33" i="9"/>
  <c r="G32" i="9"/>
  <c r="E32" i="9"/>
  <c r="G31" i="9"/>
  <c r="E31" i="9"/>
  <c r="G30" i="9"/>
  <c r="E30" i="9"/>
  <c r="G29" i="9"/>
  <c r="E29" i="9"/>
  <c r="G28" i="9"/>
  <c r="E28" i="9"/>
  <c r="G27" i="9"/>
  <c r="E27" i="9"/>
  <c r="G26" i="9"/>
  <c r="E26" i="9"/>
  <c r="G25" i="9"/>
  <c r="E25" i="9"/>
  <c r="G24" i="9"/>
  <c r="E24" i="9"/>
  <c r="G23" i="9"/>
  <c r="E23" i="9"/>
  <c r="G22" i="9"/>
  <c r="E22" i="9"/>
  <c r="G21" i="9"/>
  <c r="E21" i="9"/>
  <c r="G20" i="9"/>
  <c r="E20" i="9"/>
  <c r="G19" i="9"/>
  <c r="E19" i="9"/>
  <c r="G18" i="9"/>
  <c r="E18" i="9"/>
  <c r="G17" i="9"/>
  <c r="E17" i="9"/>
  <c r="G16" i="9"/>
  <c r="E16" i="9"/>
  <c r="G15" i="9"/>
  <c r="E15" i="9"/>
  <c r="G14" i="9"/>
  <c r="E14" i="9"/>
  <c r="G13" i="9"/>
  <c r="E13" i="9"/>
  <c r="G12" i="9"/>
  <c r="E12" i="9"/>
  <c r="G11" i="9"/>
  <c r="E11" i="9"/>
  <c r="G10" i="9"/>
  <c r="E10" i="9"/>
  <c r="G9" i="9"/>
  <c r="E9" i="9"/>
  <c r="E8" i="9"/>
  <c r="G7" i="9"/>
  <c r="E7" i="9"/>
  <c r="G6" i="9"/>
  <c r="E6" i="9"/>
  <c r="G5" i="9"/>
  <c r="E5" i="9"/>
  <c r="G4" i="9"/>
  <c r="E4" i="9"/>
  <c r="H101" i="8"/>
  <c r="F101" i="8"/>
  <c r="H100" i="8"/>
  <c r="F100" i="8"/>
  <c r="H99" i="8"/>
  <c r="F99" i="8"/>
  <c r="H98" i="8"/>
  <c r="F98" i="8"/>
  <c r="H97" i="8"/>
  <c r="F97" i="8"/>
  <c r="H96" i="8"/>
  <c r="F96" i="8"/>
  <c r="H95" i="8"/>
  <c r="F95" i="8"/>
  <c r="H94" i="8"/>
  <c r="F94" i="8"/>
  <c r="H93" i="8"/>
  <c r="F93" i="8"/>
  <c r="H92" i="8"/>
  <c r="F92" i="8"/>
  <c r="H91" i="8"/>
  <c r="F91" i="8"/>
  <c r="H90" i="8"/>
  <c r="F90" i="8"/>
  <c r="H89" i="8"/>
  <c r="F89" i="8"/>
  <c r="H88" i="8"/>
  <c r="F88" i="8"/>
  <c r="H87" i="8"/>
  <c r="F87" i="8"/>
  <c r="H86" i="8"/>
  <c r="F86" i="8"/>
  <c r="H85" i="8"/>
  <c r="F85" i="8"/>
  <c r="H84" i="8"/>
  <c r="F84" i="8"/>
  <c r="H83" i="8"/>
  <c r="F83" i="8"/>
  <c r="H82" i="8"/>
  <c r="F82" i="8"/>
  <c r="H81" i="8"/>
  <c r="F81" i="8"/>
  <c r="H80" i="8"/>
  <c r="F80" i="8"/>
  <c r="H79" i="8"/>
  <c r="F79" i="8"/>
  <c r="H78" i="8"/>
  <c r="F78" i="8"/>
  <c r="H77" i="8"/>
  <c r="F77" i="8"/>
  <c r="H76" i="8"/>
  <c r="F76" i="8"/>
  <c r="H75" i="8"/>
  <c r="F75" i="8"/>
  <c r="H74" i="8"/>
  <c r="F74" i="8"/>
  <c r="H73" i="8"/>
  <c r="F73" i="8"/>
  <c r="F72" i="8"/>
  <c r="H71" i="8"/>
  <c r="F71" i="8"/>
  <c r="H70" i="8"/>
  <c r="F70" i="8"/>
  <c r="H69" i="8"/>
  <c r="F69" i="8"/>
  <c r="H68" i="8"/>
  <c r="F68" i="8"/>
  <c r="H67" i="8"/>
  <c r="F67" i="8"/>
  <c r="H66" i="8"/>
  <c r="F66" i="8"/>
  <c r="H65" i="8"/>
  <c r="F65" i="8"/>
  <c r="H64" i="8"/>
  <c r="F64" i="8"/>
  <c r="H63" i="8"/>
  <c r="F63" i="8"/>
  <c r="H62" i="8"/>
  <c r="F62" i="8"/>
  <c r="H61" i="8"/>
  <c r="F61" i="8"/>
  <c r="H60" i="8"/>
  <c r="F60" i="8"/>
  <c r="H59" i="8"/>
  <c r="F59" i="8"/>
  <c r="H58" i="8"/>
  <c r="F58" i="8"/>
  <c r="H57" i="8"/>
  <c r="F57" i="8"/>
  <c r="H56" i="8"/>
  <c r="F56" i="8"/>
  <c r="H55" i="8"/>
  <c r="F55" i="8"/>
  <c r="H54" i="8"/>
  <c r="F54" i="8"/>
  <c r="H53" i="8"/>
  <c r="F53" i="8"/>
  <c r="H52" i="8"/>
  <c r="F52" i="8"/>
  <c r="H51" i="8"/>
  <c r="F51" i="8"/>
  <c r="H50" i="8"/>
  <c r="F50" i="8"/>
  <c r="F49" i="8"/>
  <c r="F48" i="8"/>
  <c r="F47" i="8"/>
  <c r="F46" i="8"/>
  <c r="F45" i="8"/>
  <c r="H44" i="8"/>
  <c r="F44" i="8"/>
  <c r="H43" i="8"/>
  <c r="F43" i="8"/>
  <c r="H42" i="8"/>
  <c r="F42" i="8"/>
  <c r="H41" i="8"/>
  <c r="F41" i="8"/>
  <c r="H40" i="8"/>
  <c r="F40" i="8"/>
  <c r="H39" i="8"/>
  <c r="F39" i="8"/>
  <c r="H38" i="8"/>
  <c r="F38" i="8"/>
  <c r="H37" i="8"/>
  <c r="F37" i="8"/>
  <c r="H36" i="8"/>
  <c r="F36" i="8"/>
  <c r="H35" i="8"/>
  <c r="F35" i="8"/>
  <c r="H34" i="8"/>
  <c r="F34" i="8"/>
  <c r="H33" i="8"/>
  <c r="F33" i="8"/>
  <c r="H32" i="8"/>
  <c r="F32" i="8"/>
  <c r="H31" i="8"/>
  <c r="F31" i="8"/>
  <c r="H30" i="8"/>
  <c r="F30" i="8"/>
  <c r="H29" i="8"/>
  <c r="F29" i="8"/>
  <c r="H28" i="8"/>
  <c r="F28" i="8"/>
  <c r="H27" i="8"/>
  <c r="F27" i="8"/>
  <c r="H26" i="8"/>
  <c r="F26" i="8"/>
  <c r="H25" i="8"/>
  <c r="F25" i="8"/>
  <c r="H24" i="8"/>
  <c r="F24" i="8"/>
  <c r="H23" i="8"/>
  <c r="F23" i="8"/>
  <c r="H22" i="8"/>
  <c r="F22" i="8"/>
  <c r="H21" i="8"/>
  <c r="F21" i="8"/>
  <c r="H20" i="8"/>
  <c r="F20" i="8"/>
  <c r="H19" i="8"/>
  <c r="F19" i="8"/>
  <c r="H18" i="8"/>
  <c r="F18" i="8"/>
  <c r="H17" i="8"/>
  <c r="F17" i="8"/>
  <c r="H16" i="8"/>
  <c r="F16" i="8"/>
  <c r="H15" i="8"/>
  <c r="F15" i="8"/>
  <c r="H14" i="8"/>
  <c r="F14" i="8"/>
  <c r="H13" i="8"/>
  <c r="F13" i="8"/>
  <c r="H12" i="8"/>
  <c r="F12" i="8"/>
  <c r="H11" i="8"/>
  <c r="F11" i="8"/>
  <c r="H10" i="8"/>
  <c r="F10" i="8"/>
  <c r="F9" i="8"/>
  <c r="H7" i="8"/>
  <c r="F7" i="8"/>
  <c r="H6" i="8"/>
  <c r="F6" i="8"/>
  <c r="H5" i="8"/>
  <c r="F5" i="8"/>
  <c r="H4" i="8"/>
  <c r="H103" i="8" s="1"/>
  <c r="C107" i="8" s="1"/>
  <c r="F4" i="8"/>
  <c r="F103" i="8" s="1"/>
  <c r="H102" i="7"/>
  <c r="F102" i="7"/>
  <c r="H101" i="7"/>
  <c r="F101" i="7"/>
  <c r="H100" i="7"/>
  <c r="F100" i="7"/>
  <c r="H99" i="7"/>
  <c r="F99" i="7"/>
  <c r="H98" i="7"/>
  <c r="F98" i="7"/>
  <c r="H97" i="7"/>
  <c r="F97" i="7"/>
  <c r="H96" i="7"/>
  <c r="F96" i="7"/>
  <c r="H95" i="7"/>
  <c r="F95" i="7"/>
  <c r="H94" i="7"/>
  <c r="F94" i="7"/>
  <c r="H93" i="7"/>
  <c r="F93" i="7"/>
  <c r="H92" i="7"/>
  <c r="F92" i="7"/>
  <c r="H91" i="7"/>
  <c r="F91" i="7"/>
  <c r="H90" i="7"/>
  <c r="F90" i="7"/>
  <c r="H89" i="7"/>
  <c r="F89" i="7"/>
  <c r="H88" i="7"/>
  <c r="F88" i="7"/>
  <c r="H87" i="7"/>
  <c r="F87" i="7"/>
  <c r="H86" i="7"/>
  <c r="F86" i="7"/>
  <c r="H85" i="7"/>
  <c r="F85" i="7"/>
  <c r="H84" i="7"/>
  <c r="F84" i="7"/>
  <c r="H83" i="7"/>
  <c r="F83" i="7"/>
  <c r="H82" i="7"/>
  <c r="F82" i="7"/>
  <c r="H81" i="7"/>
  <c r="F81" i="7"/>
  <c r="H80" i="7"/>
  <c r="F80" i="7"/>
  <c r="H79" i="7"/>
  <c r="F79" i="7"/>
  <c r="H78" i="7"/>
  <c r="F78" i="7"/>
  <c r="H77" i="7"/>
  <c r="F77" i="7"/>
  <c r="H76" i="7"/>
  <c r="F76" i="7"/>
  <c r="H75" i="7"/>
  <c r="F75" i="7"/>
  <c r="H74" i="7"/>
  <c r="F74" i="7"/>
  <c r="F73" i="7"/>
  <c r="H72" i="7"/>
  <c r="F72" i="7"/>
  <c r="H71" i="7"/>
  <c r="F71" i="7"/>
  <c r="H70" i="7"/>
  <c r="F70" i="7"/>
  <c r="H69" i="7"/>
  <c r="F69" i="7"/>
  <c r="H68" i="7"/>
  <c r="F68" i="7"/>
  <c r="H67" i="7"/>
  <c r="F67" i="7"/>
  <c r="H66" i="7"/>
  <c r="F66" i="7"/>
  <c r="H65" i="7"/>
  <c r="F65" i="7"/>
  <c r="H64" i="7"/>
  <c r="F64" i="7"/>
  <c r="H63" i="7"/>
  <c r="F63" i="7"/>
  <c r="H62" i="7"/>
  <c r="F62" i="7"/>
  <c r="H61" i="7"/>
  <c r="F61" i="7"/>
  <c r="H60" i="7"/>
  <c r="F60" i="7"/>
  <c r="H59" i="7"/>
  <c r="F59" i="7"/>
  <c r="H58" i="7"/>
  <c r="F58" i="7"/>
  <c r="H57" i="7"/>
  <c r="F57" i="7"/>
  <c r="H56" i="7"/>
  <c r="F56" i="7"/>
  <c r="H55" i="7"/>
  <c r="F55" i="7"/>
  <c r="H54" i="7"/>
  <c r="F54" i="7"/>
  <c r="H53" i="7"/>
  <c r="F53" i="7"/>
  <c r="H52" i="7"/>
  <c r="F52" i="7"/>
  <c r="H51" i="7"/>
  <c r="F51" i="7"/>
  <c r="F50" i="7"/>
  <c r="F49" i="7"/>
  <c r="F48" i="7"/>
  <c r="F47" i="7"/>
  <c r="F46" i="7"/>
  <c r="H45" i="7"/>
  <c r="F45" i="7"/>
  <c r="H44" i="7"/>
  <c r="F44" i="7"/>
  <c r="H43" i="7"/>
  <c r="F43" i="7"/>
  <c r="H42" i="7"/>
  <c r="F42" i="7"/>
  <c r="H41" i="7"/>
  <c r="F41" i="7"/>
  <c r="H40" i="7"/>
  <c r="F40" i="7"/>
  <c r="H39" i="7"/>
  <c r="F39" i="7"/>
  <c r="H38" i="7"/>
  <c r="F38" i="7"/>
  <c r="H37" i="7"/>
  <c r="F37" i="7"/>
  <c r="H36" i="7"/>
  <c r="F36" i="7"/>
  <c r="H35" i="7"/>
  <c r="F35" i="7"/>
  <c r="H34" i="7"/>
  <c r="F34" i="7"/>
  <c r="H33" i="7"/>
  <c r="F33" i="7"/>
  <c r="H32" i="7"/>
  <c r="F32" i="7"/>
  <c r="H31" i="7"/>
  <c r="F31" i="7"/>
  <c r="H30" i="7"/>
  <c r="F30" i="7"/>
  <c r="H29" i="7"/>
  <c r="F29" i="7"/>
  <c r="H28" i="7"/>
  <c r="F28" i="7"/>
  <c r="H27" i="7"/>
  <c r="F27" i="7"/>
  <c r="H26" i="7"/>
  <c r="F26" i="7"/>
  <c r="H25" i="7"/>
  <c r="F25" i="7"/>
  <c r="H24" i="7"/>
  <c r="F24" i="7"/>
  <c r="H23" i="7"/>
  <c r="F23" i="7"/>
  <c r="H22" i="7"/>
  <c r="F22" i="7"/>
  <c r="H21" i="7"/>
  <c r="F21" i="7"/>
  <c r="H20" i="7"/>
  <c r="F20" i="7"/>
  <c r="H19" i="7"/>
  <c r="F19" i="7"/>
  <c r="H18" i="7"/>
  <c r="F18" i="7"/>
  <c r="H17" i="7"/>
  <c r="F17" i="7"/>
  <c r="H16" i="7"/>
  <c r="F16" i="7"/>
  <c r="H15" i="7"/>
  <c r="F15" i="7"/>
  <c r="H14" i="7"/>
  <c r="F14" i="7"/>
  <c r="H13" i="7"/>
  <c r="F13" i="7"/>
  <c r="H12" i="7"/>
  <c r="F12" i="7"/>
  <c r="H11" i="7"/>
  <c r="F11" i="7"/>
  <c r="H10" i="7"/>
  <c r="H104" i="7" s="1"/>
  <c r="C108" i="7" s="1"/>
  <c r="F10" i="7"/>
  <c r="H9" i="7"/>
  <c r="F9" i="7"/>
  <c r="F8" i="7"/>
  <c r="H7" i="7"/>
  <c r="F7" i="7"/>
  <c r="H6" i="7"/>
  <c r="F6" i="7"/>
  <c r="H5" i="7"/>
  <c r="F5" i="7"/>
  <c r="H4" i="7"/>
  <c r="F4" i="7"/>
  <c r="F104" i="7" s="1"/>
  <c r="H108" i="6"/>
  <c r="F108" i="6"/>
  <c r="H107" i="6"/>
  <c r="F107" i="6"/>
  <c r="H106" i="6"/>
  <c r="F106" i="6"/>
  <c r="H105" i="6"/>
  <c r="F105" i="6"/>
  <c r="H104" i="6"/>
  <c r="F104" i="6"/>
  <c r="H103" i="6"/>
  <c r="F103" i="6"/>
  <c r="H102" i="6"/>
  <c r="F102" i="6"/>
  <c r="H101" i="6"/>
  <c r="F101" i="6"/>
  <c r="H100" i="6"/>
  <c r="F100" i="6"/>
  <c r="H99" i="6"/>
  <c r="F99" i="6"/>
  <c r="H98" i="6"/>
  <c r="F98" i="6"/>
  <c r="H97" i="6"/>
  <c r="F97" i="6"/>
  <c r="H96" i="6"/>
  <c r="F96" i="6"/>
  <c r="H95" i="6"/>
  <c r="F95" i="6"/>
  <c r="H94" i="6"/>
  <c r="F94" i="6"/>
  <c r="H93" i="6"/>
  <c r="F93" i="6"/>
  <c r="H92" i="6"/>
  <c r="F92" i="6"/>
  <c r="H91" i="6"/>
  <c r="F91" i="6"/>
  <c r="H90" i="6"/>
  <c r="F90" i="6"/>
  <c r="H89" i="6"/>
  <c r="F89" i="6"/>
  <c r="H88" i="6"/>
  <c r="F88" i="6"/>
  <c r="H87" i="6"/>
  <c r="F87" i="6"/>
  <c r="H86" i="6"/>
  <c r="F86" i="6"/>
  <c r="H85" i="6"/>
  <c r="F85" i="6"/>
  <c r="H84" i="6"/>
  <c r="F84" i="6"/>
  <c r="H83" i="6"/>
  <c r="F83" i="6"/>
  <c r="H82" i="6"/>
  <c r="F82" i="6"/>
  <c r="H81" i="6"/>
  <c r="F81" i="6"/>
  <c r="H80" i="6"/>
  <c r="F80" i="6"/>
  <c r="F79" i="6"/>
  <c r="H78" i="6"/>
  <c r="F78" i="6"/>
  <c r="H77" i="6"/>
  <c r="F77" i="6"/>
  <c r="H76" i="6"/>
  <c r="F76" i="6"/>
  <c r="H75" i="6"/>
  <c r="F75" i="6"/>
  <c r="H74" i="6"/>
  <c r="F74" i="6"/>
  <c r="H73" i="6"/>
  <c r="F73" i="6"/>
  <c r="H72" i="6"/>
  <c r="F72" i="6"/>
  <c r="H71" i="6"/>
  <c r="F71" i="6"/>
  <c r="H70" i="6"/>
  <c r="F70" i="6"/>
  <c r="H69" i="6"/>
  <c r="F69" i="6"/>
  <c r="H68" i="6"/>
  <c r="F68" i="6"/>
  <c r="H67" i="6"/>
  <c r="F67" i="6"/>
  <c r="H66" i="6"/>
  <c r="F66" i="6"/>
  <c r="H65" i="6"/>
  <c r="F65" i="6"/>
  <c r="H64" i="6"/>
  <c r="F64" i="6"/>
  <c r="H63" i="6"/>
  <c r="F63" i="6"/>
  <c r="H62" i="6"/>
  <c r="F62" i="6"/>
  <c r="H61" i="6"/>
  <c r="F61" i="6"/>
  <c r="H60" i="6"/>
  <c r="F60" i="6"/>
  <c r="H59" i="6"/>
  <c r="F59" i="6"/>
  <c r="H58" i="6"/>
  <c r="F58" i="6"/>
  <c r="H57" i="6"/>
  <c r="F57" i="6"/>
  <c r="F56" i="6"/>
  <c r="F55" i="6"/>
  <c r="F54" i="6"/>
  <c r="F53" i="6"/>
  <c r="F52" i="6"/>
  <c r="H51" i="6"/>
  <c r="F51" i="6"/>
  <c r="H50" i="6"/>
  <c r="F50" i="6"/>
  <c r="H49" i="6"/>
  <c r="F49" i="6"/>
  <c r="H48" i="6"/>
  <c r="F48" i="6"/>
  <c r="H47" i="6"/>
  <c r="F47" i="6"/>
  <c r="H46" i="6"/>
  <c r="F46" i="6"/>
  <c r="H45" i="6"/>
  <c r="F45" i="6"/>
  <c r="H44" i="6"/>
  <c r="F44" i="6"/>
  <c r="H43" i="6"/>
  <c r="F43" i="6"/>
  <c r="H42" i="6"/>
  <c r="F42" i="6"/>
  <c r="H41" i="6"/>
  <c r="F41" i="6"/>
  <c r="H40" i="6"/>
  <c r="F40" i="6"/>
  <c r="H39" i="6"/>
  <c r="F39" i="6"/>
  <c r="H38" i="6"/>
  <c r="F38" i="6"/>
  <c r="H37" i="6"/>
  <c r="F37" i="6"/>
  <c r="H36" i="6"/>
  <c r="F36" i="6"/>
  <c r="H35" i="6"/>
  <c r="F35" i="6"/>
  <c r="H34" i="6"/>
  <c r="F34" i="6"/>
  <c r="H33" i="6"/>
  <c r="F33" i="6"/>
  <c r="H32" i="6"/>
  <c r="F32" i="6"/>
  <c r="H31" i="6"/>
  <c r="F31" i="6"/>
  <c r="H30" i="6"/>
  <c r="F30" i="6"/>
  <c r="H29" i="6"/>
  <c r="F29" i="6"/>
  <c r="H28" i="6"/>
  <c r="F28" i="6"/>
  <c r="H27" i="6"/>
  <c r="F27" i="6"/>
  <c r="H26" i="6"/>
  <c r="F26" i="6"/>
  <c r="H25" i="6"/>
  <c r="F25" i="6"/>
  <c r="H24" i="6"/>
  <c r="F24" i="6"/>
  <c r="H23" i="6"/>
  <c r="F23" i="6"/>
  <c r="H22" i="6"/>
  <c r="F22" i="6"/>
  <c r="H21" i="6"/>
  <c r="F21" i="6"/>
  <c r="H20" i="6"/>
  <c r="F20" i="6"/>
  <c r="H19" i="6"/>
  <c r="F19" i="6"/>
  <c r="H18" i="6"/>
  <c r="F18" i="6"/>
  <c r="H17" i="6"/>
  <c r="F17" i="6"/>
  <c r="H16" i="6"/>
  <c r="F16" i="6"/>
  <c r="H15" i="6"/>
  <c r="F15" i="6"/>
  <c r="H14" i="6"/>
  <c r="F14" i="6"/>
  <c r="H13" i="6"/>
  <c r="F13" i="6"/>
  <c r="H12" i="6"/>
  <c r="F12" i="6"/>
  <c r="H11" i="6"/>
  <c r="F11" i="6"/>
  <c r="H10" i="6"/>
  <c r="F10" i="6"/>
  <c r="H9" i="6"/>
  <c r="F9" i="6"/>
  <c r="F8" i="6"/>
  <c r="H7" i="6"/>
  <c r="F7" i="6"/>
  <c r="H6" i="6"/>
  <c r="F6" i="6"/>
  <c r="H5" i="6"/>
  <c r="F5" i="6"/>
  <c r="H4" i="6"/>
  <c r="H110" i="6" s="1"/>
  <c r="C114" i="6" s="1"/>
  <c r="F4" i="6"/>
  <c r="F110" i="6" s="1"/>
  <c r="E18" i="5"/>
  <c r="E16" i="5"/>
  <c r="E15" i="5"/>
  <c r="E14" i="5"/>
  <c r="E13" i="5"/>
  <c r="E12" i="5"/>
  <c r="E11" i="5"/>
  <c r="E10" i="5"/>
  <c r="E9" i="5"/>
  <c r="E8" i="5"/>
  <c r="E5" i="5"/>
  <c r="E4" i="5"/>
  <c r="AG47" i="3"/>
  <c r="AH47" i="3" s="1"/>
  <c r="AD47" i="3"/>
  <c r="AE47" i="3" s="1"/>
  <c r="AA47" i="3"/>
  <c r="AB47" i="3" s="1"/>
  <c r="X47" i="3"/>
  <c r="Y47" i="3" s="1"/>
  <c r="U47" i="3"/>
  <c r="V47" i="3" s="1"/>
  <c r="R47" i="3"/>
  <c r="S47" i="3" s="1"/>
  <c r="O47" i="3"/>
  <c r="P47" i="3" s="1"/>
  <c r="L47" i="3"/>
  <c r="M47" i="3" s="1"/>
  <c r="I47" i="3"/>
  <c r="J47" i="3" s="1"/>
  <c r="F47" i="3"/>
  <c r="G47" i="3" s="1"/>
  <c r="C47" i="3"/>
  <c r="D47" i="3" s="1"/>
  <c r="AH46" i="3"/>
  <c r="AE46" i="3"/>
  <c r="AB46" i="3"/>
  <c r="Y46" i="3"/>
  <c r="V46" i="3"/>
  <c r="S46" i="3"/>
  <c r="P46" i="3"/>
  <c r="M46" i="3"/>
  <c r="J46" i="3"/>
  <c r="G46" i="3"/>
  <c r="D46" i="3"/>
  <c r="S45" i="3"/>
  <c r="D45" i="3"/>
  <c r="AH44" i="3"/>
  <c r="AE44" i="3"/>
  <c r="AB44" i="3"/>
  <c r="Y44" i="3"/>
  <c r="V44" i="3"/>
  <c r="S44" i="3"/>
  <c r="P44" i="3"/>
  <c r="M44" i="3"/>
  <c r="J44" i="3"/>
  <c r="G44" i="3"/>
  <c r="D44" i="3"/>
  <c r="AH43" i="3"/>
  <c r="AE43" i="3"/>
  <c r="AB43" i="3"/>
  <c r="Y43" i="3"/>
  <c r="V43" i="3"/>
  <c r="S43" i="3"/>
  <c r="P43" i="3"/>
  <c r="M43" i="3"/>
  <c r="J43" i="3"/>
  <c r="G43" i="3"/>
  <c r="D43" i="3"/>
  <c r="AH42" i="3"/>
  <c r="AE42" i="3"/>
  <c r="AB42" i="3"/>
  <c r="Y42" i="3"/>
  <c r="V42" i="3"/>
  <c r="S42" i="3"/>
  <c r="P42" i="3"/>
  <c r="M42" i="3"/>
  <c r="J42" i="3"/>
  <c r="G42" i="3"/>
  <c r="D42" i="3"/>
  <c r="AH41" i="3"/>
  <c r="AE41" i="3"/>
  <c r="AB41" i="3"/>
  <c r="Y41" i="3"/>
  <c r="V41" i="3"/>
  <c r="S41" i="3"/>
  <c r="P41" i="3"/>
  <c r="M41" i="3"/>
  <c r="J41" i="3"/>
  <c r="G41" i="3"/>
  <c r="D41" i="3"/>
  <c r="AH40" i="3"/>
  <c r="AE40" i="3"/>
  <c r="AB40" i="3"/>
  <c r="Y40" i="3"/>
  <c r="V40" i="3"/>
  <c r="S40" i="3"/>
  <c r="P40" i="3"/>
  <c r="M40" i="3"/>
  <c r="J40" i="3"/>
  <c r="G40" i="3"/>
  <c r="D40" i="3"/>
  <c r="AH39" i="3"/>
  <c r="AE39" i="3"/>
  <c r="AB39" i="3"/>
  <c r="Y39" i="3"/>
  <c r="V39" i="3"/>
  <c r="S39" i="3"/>
  <c r="P39" i="3"/>
  <c r="M39" i="3"/>
  <c r="J39" i="3"/>
  <c r="G39" i="3"/>
  <c r="D39" i="3"/>
  <c r="AH38" i="3"/>
  <c r="AE38" i="3"/>
  <c r="AB38" i="3"/>
  <c r="Y38" i="3"/>
  <c r="V38" i="3"/>
  <c r="S38" i="3"/>
  <c r="P38" i="3"/>
  <c r="M38" i="3"/>
  <c r="J38" i="3"/>
  <c r="G38" i="3"/>
  <c r="D38" i="3"/>
  <c r="AH37" i="3"/>
  <c r="AE37" i="3"/>
  <c r="AB37" i="3"/>
  <c r="Y37" i="3"/>
  <c r="V37" i="3"/>
  <c r="S37" i="3"/>
  <c r="P37" i="3"/>
  <c r="M37" i="3"/>
  <c r="J37" i="3"/>
  <c r="G37" i="3"/>
  <c r="D37" i="3"/>
  <c r="AH36" i="3"/>
  <c r="AE36" i="3"/>
  <c r="AB36" i="3"/>
  <c r="Y36" i="3"/>
  <c r="V36" i="3"/>
  <c r="S36" i="3"/>
  <c r="P36" i="3"/>
  <c r="M36" i="3"/>
  <c r="J36" i="3"/>
  <c r="G36" i="3"/>
  <c r="D36" i="3"/>
  <c r="AG31" i="3"/>
  <c r="AH31" i="3" s="1"/>
  <c r="AD31" i="3"/>
  <c r="AE31" i="3" s="1"/>
  <c r="AA31" i="3"/>
  <c r="AB31" i="3" s="1"/>
  <c r="X31" i="3"/>
  <c r="Y31" i="3" s="1"/>
  <c r="U31" i="3"/>
  <c r="V31" i="3" s="1"/>
  <c r="R31" i="3"/>
  <c r="S31" i="3" s="1"/>
  <c r="O31" i="3"/>
  <c r="P31" i="3" s="1"/>
  <c r="L31" i="3"/>
  <c r="M31" i="3" s="1"/>
  <c r="I31" i="3"/>
  <c r="J31" i="3" s="1"/>
  <c r="F31" i="3"/>
  <c r="G31" i="3" s="1"/>
  <c r="C31" i="3"/>
  <c r="D31" i="3" s="1"/>
  <c r="AH30" i="3"/>
  <c r="AE30" i="3"/>
  <c r="AB30" i="3"/>
  <c r="Y30" i="3"/>
  <c r="V30" i="3"/>
  <c r="S30" i="3"/>
  <c r="P30" i="3"/>
  <c r="M30" i="3"/>
  <c r="J30" i="3"/>
  <c r="G30" i="3"/>
  <c r="D30" i="3"/>
  <c r="AH29" i="3"/>
  <c r="AE29" i="3"/>
  <c r="AB29" i="3"/>
  <c r="Y29" i="3"/>
  <c r="V29" i="3"/>
  <c r="S29" i="3"/>
  <c r="P29" i="3"/>
  <c r="M29" i="3"/>
  <c r="J29" i="3"/>
  <c r="G29" i="3"/>
  <c r="D29" i="3"/>
  <c r="AH28" i="3"/>
  <c r="AE28" i="3"/>
  <c r="AB28" i="3"/>
  <c r="Y28" i="3"/>
  <c r="V28" i="3"/>
  <c r="S28" i="3"/>
  <c r="P28" i="3"/>
  <c r="M28" i="3"/>
  <c r="J28" i="3"/>
  <c r="G28" i="3"/>
  <c r="D28" i="3"/>
  <c r="AH27" i="3"/>
  <c r="AE27" i="3"/>
  <c r="AB27" i="3"/>
  <c r="Y27" i="3"/>
  <c r="V27" i="3"/>
  <c r="S27" i="3"/>
  <c r="P27" i="3"/>
  <c r="M27" i="3"/>
  <c r="J27" i="3"/>
  <c r="G27" i="3"/>
  <c r="D27" i="3"/>
  <c r="AH26" i="3"/>
  <c r="AE26" i="3"/>
  <c r="AB26" i="3"/>
  <c r="Y26" i="3"/>
  <c r="V26" i="3"/>
  <c r="S26" i="3"/>
  <c r="P26" i="3"/>
  <c r="M26" i="3"/>
  <c r="J26" i="3"/>
  <c r="G26" i="3"/>
  <c r="D26" i="3"/>
  <c r="AH25" i="3"/>
  <c r="AE25" i="3"/>
  <c r="AB25" i="3"/>
  <c r="Y25" i="3"/>
  <c r="V25" i="3"/>
  <c r="S25" i="3"/>
  <c r="P25" i="3"/>
  <c r="M25" i="3"/>
  <c r="J25" i="3"/>
  <c r="G25" i="3"/>
  <c r="D25" i="3"/>
  <c r="AH24" i="3"/>
  <c r="AE24" i="3"/>
  <c r="AB24" i="3"/>
  <c r="Y24" i="3"/>
  <c r="V24" i="3"/>
  <c r="S24" i="3"/>
  <c r="P24" i="3"/>
  <c r="M24" i="3"/>
  <c r="J24" i="3"/>
  <c r="G24" i="3"/>
  <c r="D24" i="3"/>
  <c r="AH23" i="3"/>
  <c r="AE23" i="3"/>
  <c r="AB23" i="3"/>
  <c r="Y23" i="3"/>
  <c r="V23" i="3"/>
  <c r="S23" i="3"/>
  <c r="P23" i="3"/>
  <c r="M23" i="3"/>
  <c r="J23" i="3"/>
  <c r="G23" i="3"/>
  <c r="D23" i="3"/>
  <c r="AH22" i="3"/>
  <c r="AE22" i="3"/>
  <c r="AB22" i="3"/>
  <c r="Y22" i="3"/>
  <c r="V22" i="3"/>
  <c r="S22" i="3"/>
  <c r="P22" i="3"/>
  <c r="M22" i="3"/>
  <c r="J22" i="3"/>
  <c r="G22" i="3"/>
  <c r="D22" i="3"/>
  <c r="AH21" i="3"/>
  <c r="AE21" i="3"/>
  <c r="AB21" i="3"/>
  <c r="Y21" i="3"/>
  <c r="V21" i="3"/>
  <c r="S21" i="3"/>
  <c r="P21" i="3"/>
  <c r="M21" i="3"/>
  <c r="J21" i="3"/>
  <c r="G21" i="3"/>
  <c r="D21" i="3"/>
  <c r="AG16" i="3"/>
  <c r="AH16" i="3" s="1"/>
  <c r="AD16" i="3"/>
  <c r="AE16" i="3" s="1"/>
  <c r="AE54" i="3" s="1"/>
  <c r="AA16" i="3"/>
  <c r="AA54" i="3" s="1"/>
  <c r="X16" i="3"/>
  <c r="Y16" i="3" s="1"/>
  <c r="U16" i="3"/>
  <c r="V16" i="3" s="1"/>
  <c r="R16" i="3"/>
  <c r="S16" i="3" s="1"/>
  <c r="O16" i="3"/>
  <c r="P16" i="3" s="1"/>
  <c r="P54" i="3" s="1"/>
  <c r="L16" i="3"/>
  <c r="M16" i="3" s="1"/>
  <c r="M54" i="3" s="1"/>
  <c r="I16" i="3"/>
  <c r="J16" i="3" s="1"/>
  <c r="J54" i="3" s="1"/>
  <c r="F16" i="3"/>
  <c r="G16" i="3" s="1"/>
  <c r="G54" i="3" s="1"/>
  <c r="C16" i="3"/>
  <c r="C54" i="3" s="1"/>
  <c r="AH15" i="3"/>
  <c r="AE15" i="3"/>
  <c r="AB15" i="3"/>
  <c r="Y15" i="3"/>
  <c r="V15" i="3"/>
  <c r="S15" i="3"/>
  <c r="P15" i="3"/>
  <c r="M15" i="3"/>
  <c r="J15" i="3"/>
  <c r="G15" i="3"/>
  <c r="D15" i="3"/>
  <c r="AH14" i="3"/>
  <c r="AE14" i="3"/>
  <c r="AB14" i="3"/>
  <c r="Y14" i="3"/>
  <c r="V14" i="3"/>
  <c r="S14" i="3"/>
  <c r="P14" i="3"/>
  <c r="M14" i="3"/>
  <c r="J14" i="3"/>
  <c r="G14" i="3"/>
  <c r="D14" i="3"/>
  <c r="AH13" i="3"/>
  <c r="AE13" i="3"/>
  <c r="AB13" i="3"/>
  <c r="Y13" i="3"/>
  <c r="V13" i="3"/>
  <c r="S13" i="3"/>
  <c r="P13" i="3"/>
  <c r="M13" i="3"/>
  <c r="J13" i="3"/>
  <c r="G13" i="3"/>
  <c r="D13" i="3"/>
  <c r="AH12" i="3"/>
  <c r="AE12" i="3"/>
  <c r="AB12" i="3"/>
  <c r="Y12" i="3"/>
  <c r="V12" i="3"/>
  <c r="S12" i="3"/>
  <c r="P12" i="3"/>
  <c r="M12" i="3"/>
  <c r="J12" i="3"/>
  <c r="G12" i="3"/>
  <c r="D12" i="3"/>
  <c r="AH11" i="3"/>
  <c r="AE11" i="3"/>
  <c r="AB11" i="3"/>
  <c r="Y11" i="3"/>
  <c r="V11" i="3"/>
  <c r="S11" i="3"/>
  <c r="P11" i="3"/>
  <c r="M11" i="3"/>
  <c r="J11" i="3"/>
  <c r="G11" i="3"/>
  <c r="D11" i="3"/>
  <c r="AH10" i="3"/>
  <c r="AE10" i="3"/>
  <c r="AB10" i="3"/>
  <c r="Y10" i="3"/>
  <c r="V10" i="3"/>
  <c r="S10" i="3"/>
  <c r="P10" i="3"/>
  <c r="M10" i="3"/>
  <c r="J10" i="3"/>
  <c r="G10" i="3"/>
  <c r="D10" i="3"/>
  <c r="AH9" i="3"/>
  <c r="AE9" i="3"/>
  <c r="AB9" i="3"/>
  <c r="Y9" i="3"/>
  <c r="V9" i="3"/>
  <c r="S9" i="3"/>
  <c r="P9" i="3"/>
  <c r="M9" i="3"/>
  <c r="J9" i="3"/>
  <c r="G9" i="3"/>
  <c r="D9" i="3"/>
  <c r="AH8" i="3"/>
  <c r="AE8" i="3"/>
  <c r="AB8" i="3"/>
  <c r="Y8" i="3"/>
  <c r="V8" i="3"/>
  <c r="S8" i="3"/>
  <c r="P8" i="3"/>
  <c r="M8" i="3"/>
  <c r="J8" i="3"/>
  <c r="G8" i="3"/>
  <c r="D8" i="3"/>
  <c r="AH7" i="3"/>
  <c r="AE7" i="3"/>
  <c r="AB7" i="3"/>
  <c r="Y7" i="3"/>
  <c r="V7" i="3"/>
  <c r="S7" i="3"/>
  <c r="P7" i="3"/>
  <c r="M7" i="3"/>
  <c r="J7" i="3"/>
  <c r="G7" i="3"/>
  <c r="D7" i="3"/>
  <c r="AH6" i="3"/>
  <c r="AE6" i="3"/>
  <c r="AB6" i="3"/>
  <c r="Y6" i="3"/>
  <c r="V6" i="3"/>
  <c r="S6" i="3"/>
  <c r="P6" i="3"/>
  <c r="M6" i="3"/>
  <c r="J6" i="3"/>
  <c r="G6" i="3"/>
  <c r="D6" i="3"/>
  <c r="I3" i="1"/>
  <c r="H2" i="6" l="1"/>
  <c r="H1" i="6"/>
  <c r="C113" i="6"/>
  <c r="C118" i="6" s="1"/>
  <c r="G110" i="9"/>
  <c r="C114" i="9" s="1"/>
  <c r="S54" i="3"/>
  <c r="H2" i="8"/>
  <c r="H1" i="8"/>
  <c r="C106" i="8"/>
  <c r="C111" i="8" s="1"/>
  <c r="C107" i="7"/>
  <c r="C112" i="7" s="1"/>
  <c r="H2" i="7"/>
  <c r="H1" i="7"/>
  <c r="V54" i="3"/>
  <c r="Y54" i="3"/>
  <c r="E110" i="9"/>
  <c r="L54" i="3"/>
  <c r="X54" i="3"/>
  <c r="E80" i="9"/>
  <c r="O54" i="3"/>
  <c r="D16" i="3"/>
  <c r="D54" i="3" s="1"/>
  <c r="AB16" i="3"/>
  <c r="AB54" i="3" s="1"/>
  <c r="E81" i="9"/>
  <c r="AD54" i="3"/>
  <c r="F54" i="3"/>
  <c r="R54" i="3"/>
  <c r="I54" i="3"/>
  <c r="U54" i="3"/>
  <c r="C113" i="9" l="1"/>
  <c r="C118" i="9" s="1"/>
  <c r="G2" i="9"/>
  <c r="G1" i="9"/>
</calcChain>
</file>

<file path=xl/sharedStrings.xml><?xml version="1.0" encoding="utf-8"?>
<sst xmlns="http://schemas.openxmlformats.org/spreadsheetml/2006/main" count="865" uniqueCount="326">
  <si>
    <t>061Ч, 12 июля, 21:15,
Павелецкий вокзал, 
19 вагон</t>
  </si>
  <si>
    <t>033СА, 26 июля, 00:36, 
Невинномысская, 
18 вагон</t>
  </si>
  <si>
    <t>№</t>
  </si>
  <si>
    <t>Фамилия</t>
  </si>
  <si>
    <t>Имя</t>
  </si>
  <si>
    <t>Отчество</t>
  </si>
  <si>
    <t>Туда</t>
  </si>
  <si>
    <t>Обратно</t>
  </si>
  <si>
    <t>Страховка</t>
  </si>
  <si>
    <t>Компания</t>
  </si>
  <si>
    <t>Контакты для ст.случ.</t>
  </si>
  <si>
    <t>Титков</t>
  </si>
  <si>
    <t>Кирилл</t>
  </si>
  <si>
    <t>Евгеньевич</t>
  </si>
  <si>
    <t>40 место</t>
  </si>
  <si>
    <t>30 место</t>
  </si>
  <si>
    <t xml:space="preserve">E1000-302412114
</t>
  </si>
  <si>
    <t>Евроинс</t>
  </si>
  <si>
    <t>Зеленцова</t>
  </si>
  <si>
    <t>Алиса</t>
  </si>
  <si>
    <t>Андреевна</t>
  </si>
  <si>
    <t>29 место</t>
  </si>
  <si>
    <t>32 место</t>
  </si>
  <si>
    <t>E1000-302405382</t>
  </si>
  <si>
    <t>Нефедов</t>
  </si>
  <si>
    <t>Павел</t>
  </si>
  <si>
    <t>Андреевич</t>
  </si>
  <si>
    <t>E1000-302408745</t>
  </si>
  <si>
    <t>Сесюкалов</t>
  </si>
  <si>
    <t>Александр</t>
  </si>
  <si>
    <t>Алексеевич</t>
  </si>
  <si>
    <t>39 место</t>
  </si>
  <si>
    <t>E1000-302409255</t>
  </si>
  <si>
    <t>Рымарчук</t>
  </si>
  <si>
    <t>Николай</t>
  </si>
  <si>
    <t>Дмитриевич</t>
  </si>
  <si>
    <t>4 место</t>
  </si>
  <si>
    <t>42 место</t>
  </si>
  <si>
    <t xml:space="preserve"> Е1000-302409834</t>
  </si>
  <si>
    <t>День</t>
  </si>
  <si>
    <t>Трек</t>
  </si>
  <si>
    <t>Читает, изучает</t>
  </si>
  <si>
    <t>Ссылка на характеристику</t>
  </si>
  <si>
    <t>Задача</t>
  </si>
  <si>
    <t>1 день.gpx</t>
  </si>
  <si>
    <t xml:space="preserve">пол. Таулу – дол. р. София </t>
  </si>
  <si>
    <t>-</t>
  </si>
  <si>
    <t>1 акк.gpx</t>
  </si>
  <si>
    <t xml:space="preserve"> пер. Софийское седло (2571м. н/к) – Софийские водопады – дол. р. София (м.н.)</t>
  </si>
  <si>
    <t xml:space="preserve">Каждый берёт себе по дню, кроме первого, изучает его и пишет характеристику, тп идём по дороге, </t>
  </si>
  <si>
    <t>2 день.gpx</t>
  </si>
  <si>
    <t>М.н. – дол. р. Ак-Айры – Спартаковские ночевки – Песчаные ночевки (м.н.)</t>
  </si>
  <si>
    <t>2-4 день</t>
  </si>
  <si>
    <t xml:space="preserve">грутновой(курумнику/ тропе, крутизна склона такая-то, перевал такой-то с фотками, </t>
  </si>
  <si>
    <t>3 день.gpx</t>
  </si>
  <si>
    <t>М.н. – связка пер. Ак-Айры Западный (3150м.) – в. Надежда (3350м) (1Б) – дол. р. Псыш, дол. р. Аманауз (м.н.)</t>
  </si>
  <si>
    <t>это нужно вам для понимания что и как мы пойдём.</t>
  </si>
  <si>
    <t>4 день.gpx</t>
  </si>
  <si>
    <t>М.н. – Погранзастава – дол. р. Белая (м.н.)</t>
  </si>
  <si>
    <t>В трек впихиваете все возможные варианты стоянок/ночёвок.</t>
  </si>
  <si>
    <t>5 день.gpx</t>
  </si>
  <si>
    <t>М.н. – оз. Белореченское –пер. Аюлю (2874м. н/к) – оз. Аюлю – оз. Семицветное (м.н.)</t>
  </si>
  <si>
    <t>5 и 10 день</t>
  </si>
  <si>
    <t>Ну и думаете где и что можно пойти обгоняя граффик, вот к примеру 3 ий день, там ваще халяава, в основном идём на спуск</t>
  </si>
  <si>
    <t>6 день.gpx</t>
  </si>
  <si>
    <t>М.н. – дол. р. Большая Дукка – дор. Архыз-Пхия – дол. р. Архыз (м.н.)</t>
  </si>
  <si>
    <t>Паша</t>
  </si>
  <si>
    <t>6-7 день</t>
  </si>
  <si>
    <t xml:space="preserve">и в принципе если всё будет норм - то примерно к обеду вйдем на место ночёвки, соответственно можем пойти выше по </t>
  </si>
  <si>
    <t>7 день.gpx</t>
  </si>
  <si>
    <t>М.н. – пер. Ацгара (2714 м. н/к) – пер. Чилик (2913 м. н/к) – оз. Чилик</t>
  </si>
  <si>
    <t>Аманаузу пройдя к примеру часть следующего дня.</t>
  </si>
  <si>
    <t>8 день.gpx</t>
  </si>
  <si>
    <t>М.н. – пер. Кынхара (2869м. 1А) – оз. Голубое – оз. Кяфар (м.н.)</t>
  </si>
  <si>
    <t>Саша</t>
  </si>
  <si>
    <t>8-9 день</t>
  </si>
  <si>
    <t xml:space="preserve">А вот день пятый, к примеру, можем не осилить и встанем у коша, в общем, задача творческая, </t>
  </si>
  <si>
    <t>9 день.gpx</t>
  </si>
  <si>
    <t>М.н. – оз. Провальное – оз. Подскальное – связка пер. Мылгвал (2825 м. 1А) – пер. Агур (2977 м. 1А) – оз. Турье – дол. р. Кяфар-Агур – оз. Запрудное (м.н.)</t>
  </si>
  <si>
    <t>под названием как сделать нашу жизнь лучше)))</t>
  </si>
  <si>
    <t>10 день.gpx</t>
  </si>
  <si>
    <t>М.н. – пер. Архыз (2961 м. 1А) – Баритовый рудник – вод. Баритовый – пос. Архыз (м.н.)</t>
  </si>
  <si>
    <t>Так же подумайте что вы хотите с забросками.</t>
  </si>
  <si>
    <t>Закуп (что)</t>
  </si>
  <si>
    <t>Кто</t>
  </si>
  <si>
    <t>Сколько</t>
  </si>
  <si>
    <t>Примечание</t>
  </si>
  <si>
    <t>Остаток в общаке</t>
  </si>
  <si>
    <t>1064 у Алисы</t>
  </si>
  <si>
    <t>Курица 500 гр</t>
  </si>
  <si>
    <t>Аптечка</t>
  </si>
  <si>
    <t>Курица на сушку</t>
  </si>
  <si>
    <t>Коля</t>
  </si>
  <si>
    <t>Ремнабор</t>
  </si>
  <si>
    <t>Мясо на сушку</t>
  </si>
  <si>
    <t>Зиппакеты 100 шт</t>
  </si>
  <si>
    <t>не принципиально, можем пересчитать по количеству используемых по факту</t>
  </si>
  <si>
    <t>кол-во человек</t>
  </si>
  <si>
    <t xml:space="preserve">1 день
</t>
  </si>
  <si>
    <t xml:space="preserve">2 день
</t>
  </si>
  <si>
    <t xml:space="preserve">3 день
</t>
  </si>
  <si>
    <t xml:space="preserve">4 день
</t>
  </si>
  <si>
    <t xml:space="preserve">5 день
</t>
  </si>
  <si>
    <t xml:space="preserve">6 день
</t>
  </si>
  <si>
    <t xml:space="preserve">7 день
</t>
  </si>
  <si>
    <t xml:space="preserve">8 день
</t>
  </si>
  <si>
    <t xml:space="preserve">9 день
</t>
  </si>
  <si>
    <t xml:space="preserve">10 день
</t>
  </si>
  <si>
    <t>11 день
ЗАПАСНОЙ</t>
  </si>
  <si>
    <t xml:space="preserve">завтрак  
</t>
  </si>
  <si>
    <t>блюдо: рисовая каша молочная</t>
  </si>
  <si>
    <t>блюдо: кус-кус с цукатами</t>
  </si>
  <si>
    <t>блюдо: макароны с сыром и грудинкой</t>
  </si>
  <si>
    <t>блюдо: гречневая каша</t>
  </si>
  <si>
    <t>блюдо: омлет</t>
  </si>
  <si>
    <t>продукт</t>
  </si>
  <si>
    <t>норма</t>
  </si>
  <si>
    <t>вес</t>
  </si>
  <si>
    <t>рис</t>
  </si>
  <si>
    <t>кус-кус</t>
  </si>
  <si>
    <t>макароны</t>
  </si>
  <si>
    <t>гречка</t>
  </si>
  <si>
    <t>омлет</t>
  </si>
  <si>
    <t>хлеб</t>
  </si>
  <si>
    <t>сухие сливки</t>
  </si>
  <si>
    <t>цукаты</t>
  </si>
  <si>
    <t>сыр</t>
  </si>
  <si>
    <t>говядина</t>
  </si>
  <si>
    <t>сливки</t>
  </si>
  <si>
    <t>джем</t>
  </si>
  <si>
    <t>чай</t>
  </si>
  <si>
    <t>сахар</t>
  </si>
  <si>
    <t>сникерс</t>
  </si>
  <si>
    <t>халва</t>
  </si>
  <si>
    <t>печенье овсяное</t>
  </si>
  <si>
    <t>орео</t>
  </si>
  <si>
    <t>нутелла</t>
  </si>
  <si>
    <t>конфеты шок</t>
  </si>
  <si>
    <t>колбаса ск</t>
  </si>
  <si>
    <t>ИТОГ:</t>
  </si>
  <si>
    <t xml:space="preserve">обед  
</t>
  </si>
  <si>
    <t>блюдо: суп из сырка курица</t>
  </si>
  <si>
    <t>блюдо: суп харчо говядина</t>
  </si>
  <si>
    <t>блюдо: бич мама том ям</t>
  </si>
  <si>
    <t>блюдо: суп борщ, говядина</t>
  </si>
  <si>
    <t>блюдо: бич мама фобо</t>
  </si>
  <si>
    <t>курица</t>
  </si>
  <si>
    <t>бич</t>
  </si>
  <si>
    <t>сырок</t>
  </si>
  <si>
    <t>приправы</t>
  </si>
  <si>
    <t>сушеная зелень</t>
  </si>
  <si>
    <t>лапша</t>
  </si>
  <si>
    <t>сушеные овощи</t>
  </si>
  <si>
    <t>пряник тульский</t>
  </si>
  <si>
    <t>вермешель буковки</t>
  </si>
  <si>
    <t xml:space="preserve">ужин
</t>
  </si>
  <si>
    <t>блюдо: булгур с мясом и овощами</t>
  </si>
  <si>
    <t>блюдо: гречка по купечески говядина</t>
  </si>
  <si>
    <t>блюдо: карпюр с курицей</t>
  </si>
  <si>
    <t>блюдо: ризотто, овощи и курица</t>
  </si>
  <si>
    <t>блюдо: курица терияки</t>
  </si>
  <si>
    <t>блюдо:гречка по купечески</t>
  </si>
  <si>
    <t>булгур с овощами</t>
  </si>
  <si>
    <t>карпюр</t>
  </si>
  <si>
    <t>ризонни</t>
  </si>
  <si>
    <t>крисп</t>
  </si>
  <si>
    <t>соус</t>
  </si>
  <si>
    <t>приправы гуляш</t>
  </si>
  <si>
    <t>приправы курица в сливочно чесночном</t>
  </si>
  <si>
    <t>бульон с грибами</t>
  </si>
  <si>
    <t>спирт</t>
  </si>
  <si>
    <t>сущеные овощи</t>
  </si>
  <si>
    <t>Б</t>
  </si>
  <si>
    <t>Ж</t>
  </si>
  <si>
    <t>У</t>
  </si>
  <si>
    <t>ккал</t>
  </si>
  <si>
    <t>Общий вес</t>
  </si>
  <si>
    <t>карпит неменее 100 на чд</t>
  </si>
  <si>
    <t>6 заброска</t>
  </si>
  <si>
    <t xml:space="preserve">продукт </t>
  </si>
  <si>
    <t>б</t>
  </si>
  <si>
    <t>ж</t>
  </si>
  <si>
    <t>у</t>
  </si>
  <si>
    <t xml:space="preserve">рис </t>
  </si>
  <si>
    <t xml:space="preserve"> </t>
  </si>
  <si>
    <t>Снаряжение</t>
  </si>
  <si>
    <t>вес, кг</t>
  </si>
  <si>
    <t>Комментарий</t>
  </si>
  <si>
    <t>Колличество</t>
  </si>
  <si>
    <t>Наличие</t>
  </si>
  <si>
    <t>Дюралевые кольца или шайбы</t>
  </si>
  <si>
    <t>замена оторваных или сломаных крючков на ботинках</t>
  </si>
  <si>
    <t>4 шт</t>
  </si>
  <si>
    <t>есть</t>
  </si>
  <si>
    <t>Стяжки</t>
  </si>
  <si>
    <t>нейлоновые</t>
  </si>
  <si>
    <t>10 шт</t>
  </si>
  <si>
    <t>Мультитул</t>
  </si>
  <si>
    <t>1 шт</t>
  </si>
  <si>
    <t>Баф</t>
  </si>
  <si>
    <t>Пуговицы-кнопки</t>
  </si>
  <si>
    <t>Разных размеров</t>
  </si>
  <si>
    <t>15 шт</t>
  </si>
  <si>
    <t>купить</t>
  </si>
  <si>
    <t>Запчасти для ремонта молнии</t>
  </si>
  <si>
    <t>бегунок, пуллеры на замок молнии, замок молнии</t>
  </si>
  <si>
    <t>5 шт</t>
  </si>
  <si>
    <t>Булавки</t>
  </si>
  <si>
    <t>разные, металические</t>
  </si>
  <si>
    <t>Нитки</t>
  </si>
  <si>
    <t>капрон, толстые (1 мл) и тонкие (0,3 мл)</t>
  </si>
  <si>
    <t>2 шт</t>
  </si>
  <si>
    <t>Набор игл</t>
  </si>
  <si>
    <t>12 шт</t>
  </si>
  <si>
    <t>Шило</t>
  </si>
  <si>
    <t>Для ремонт обуви</t>
  </si>
  <si>
    <t>Ткань для палаток</t>
  </si>
  <si>
    <t>обычная для палаток и самоклеющейся для саманадувающихся ковриков и т.п.</t>
  </si>
  <si>
    <t>1 кусок (большой)</t>
  </si>
  <si>
    <t>Ткань для одежды</t>
  </si>
  <si>
    <t>3 куска</t>
  </si>
  <si>
    <t>Заплатки для ремонта самонадувающехся ковриков и т.п.</t>
  </si>
  <si>
    <t>Трезубцы (фасты)</t>
  </si>
  <si>
    <t>6 шт</t>
  </si>
  <si>
    <t>Пряжки</t>
  </si>
  <si>
    <t>Зажигалка</t>
  </si>
  <si>
    <t>Бандана</t>
  </si>
  <si>
    <t>Клей двухкомпонентный</t>
  </si>
  <si>
    <t>клей "заплатка" для ремонта палаток, тента, одежды</t>
  </si>
  <si>
    <t>Клей Момент</t>
  </si>
  <si>
    <t>супер момент профи в пластике для ремонта пластика и т.п.</t>
  </si>
  <si>
    <t>3 шт (1гр)</t>
  </si>
  <si>
    <t>Изолента</t>
  </si>
  <si>
    <t>Скотч</t>
  </si>
  <si>
    <t>армированный, обычный</t>
  </si>
  <si>
    <t>Репшнур</t>
  </si>
  <si>
    <t>3 мм, 10 метров</t>
  </si>
  <si>
    <t>1 бухта</t>
  </si>
  <si>
    <t>Проволока медная</t>
  </si>
  <si>
    <t>Небольшой моток</t>
  </si>
  <si>
    <t>Резинка шляпная</t>
  </si>
  <si>
    <t>1м</t>
  </si>
  <si>
    <t>1 м</t>
  </si>
  <si>
    <t>Втулка для ремонта дуги палатки</t>
  </si>
  <si>
    <t>11,5 мм</t>
  </si>
  <si>
    <t>Ножницы</t>
  </si>
  <si>
    <t>Складные</t>
  </si>
  <si>
    <t xml:space="preserve">Вес ремнабора: </t>
  </si>
  <si>
    <t>Название</t>
  </si>
  <si>
    <t>Вес, гр.</t>
  </si>
  <si>
    <t>Кол-во</t>
  </si>
  <si>
    <t>Итого</t>
  </si>
  <si>
    <t>Хозяин</t>
  </si>
  <si>
    <t>Несущий</t>
  </si>
  <si>
    <t>Берем в поход</t>
  </si>
  <si>
    <t>Кухня</t>
  </si>
  <si>
    <t>Половник</t>
  </si>
  <si>
    <t>Щетка для канов</t>
  </si>
  <si>
    <t>Ветрозащитный экран</t>
  </si>
  <si>
    <t>Кастрюля 2 литра с радиаторами</t>
  </si>
  <si>
    <t>Джет</t>
  </si>
  <si>
    <t>Горелка</t>
  </si>
  <si>
    <t>Запасной баллон</t>
  </si>
  <si>
    <t>Газовый баллон</t>
  </si>
  <si>
    <t>Бивак</t>
  </si>
  <si>
    <t>Палатка 3-местная</t>
  </si>
  <si>
    <t>Футпринт</t>
  </si>
  <si>
    <t xml:space="preserve">Палатка 2-местная </t>
  </si>
  <si>
    <t>Тент</t>
  </si>
  <si>
    <t>Спец.снаряжение</t>
  </si>
  <si>
    <t>Флаг</t>
  </si>
  <si>
    <t>Система + усы + 3 карабина</t>
  </si>
  <si>
    <t>Система + усы + 3 карабина + 2 пруса</t>
  </si>
  <si>
    <t>Прусы из этого 99 грамм</t>
  </si>
  <si>
    <t>Бухта веревки (50 м)</t>
  </si>
  <si>
    <t>Репшнур 20 метров</t>
  </si>
  <si>
    <t>Групповая аптечка</t>
  </si>
  <si>
    <t>Экология</t>
  </si>
  <si>
    <t>Мусорные пакеты</t>
  </si>
  <si>
    <t>Энергия</t>
  </si>
  <si>
    <t>Повербанк</t>
  </si>
  <si>
    <t>Вес:</t>
  </si>
  <si>
    <t>Рымарчук Николай</t>
  </si>
  <si>
    <t>ВСЕГО ЛС в поход</t>
  </si>
  <si>
    <t>ИТОГО РЮКЗАК ЛС</t>
  </si>
  <si>
    <t>Категория</t>
  </si>
  <si>
    <t>Наименование</t>
  </si>
  <si>
    <t>Вес</t>
  </si>
  <si>
    <t>в поход</t>
  </si>
  <si>
    <t>Вес в поход</t>
  </si>
  <si>
    <t>на себе</t>
  </si>
  <si>
    <t>Обувь</t>
  </si>
  <si>
    <t>Одежда</t>
  </si>
  <si>
    <t>СпецСн</t>
  </si>
  <si>
    <t>Гигиена и очки</t>
  </si>
  <si>
    <t>КЛМН</t>
  </si>
  <si>
    <t>Всякое</t>
  </si>
  <si>
    <t>Итого:</t>
  </si>
  <si>
    <t>из них на себе:</t>
  </si>
  <si>
    <t>продукты</t>
  </si>
  <si>
    <t>Сухари</t>
  </si>
  <si>
    <t>общественное снаряжение</t>
  </si>
  <si>
    <t>Итого вес рюкзака:</t>
  </si>
  <si>
    <t>Сесюкалов Александр</t>
  </si>
  <si>
    <t>рюкзак</t>
  </si>
  <si>
    <t>спальник</t>
  </si>
  <si>
    <t>коврик</t>
  </si>
  <si>
    <t>ботинки</t>
  </si>
  <si>
    <t>кроксы</t>
  </si>
  <si>
    <t>палки</t>
  </si>
  <si>
    <t xml:space="preserve">Рюкзак </t>
  </si>
  <si>
    <t>Накидка на рюкзак</t>
  </si>
  <si>
    <t>Коврик</t>
  </si>
  <si>
    <t>Сидушка</t>
  </si>
  <si>
    <t>Подушка</t>
  </si>
  <si>
    <t xml:space="preserve">Спальник </t>
  </si>
  <si>
    <t>Самонадувашка</t>
  </si>
  <si>
    <t>Ботинки</t>
  </si>
  <si>
    <t>Кросовки</t>
  </si>
  <si>
    <t>Куртка</t>
  </si>
  <si>
    <t>Powerbank</t>
  </si>
  <si>
    <t>Каска</t>
  </si>
  <si>
    <t>Перчатки</t>
  </si>
  <si>
    <t>КЛМ</t>
  </si>
  <si>
    <t>Сигареты</t>
  </si>
  <si>
    <t>Сигареты в заброску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</si>
</sst>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0"/>
      <color rgb="FF000000"/>
      <name val="Arial"/>
      <scheme val="minor"/>
    </font>
    <font>
      <sz val="10"/>
      <color theme="1"/>
      <name val="Times New Roman"/>
    </font>
    <font>
      <b/>
      <sz val="10"/>
      <color theme="1"/>
      <name val="Times New Roman"/>
    </font>
    <font>
      <b/>
      <sz val="10"/>
      <color theme="1"/>
      <name val="Times New Roman"/>
    </font>
    <font>
      <sz val="10"/>
      <name val="Arial"/>
    </font>
    <font>
      <b/>
      <sz val="10"/>
      <color rgb="FF000000"/>
      <name val="Times New Roman"/>
    </font>
    <font>
      <sz val="10"/>
      <color rgb="FF000000"/>
      <name val="Times New Roman"/>
    </font>
    <font>
      <u/>
      <sz val="10"/>
      <color rgb="FF0000FF"/>
      <name val="Times New Roman"/>
    </font>
    <font>
      <u/>
      <sz val="10"/>
      <color rgb="FF0000FF"/>
      <name val="Times New Roman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2"/>
      <color theme="1"/>
      <name val="Calibri"/>
    </font>
    <font>
      <b/>
      <sz val="10"/>
      <color rgb="FF1F1F1F"/>
      <name val="&quot;Google Sans&quot;"/>
    </font>
    <font>
      <b/>
      <sz val="16"/>
      <color theme="1"/>
      <name val="Arial"/>
    </font>
  </fonts>
  <fills count="2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E2EFDA"/>
        <bgColor rgb="FFE2EFDA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FB837D"/>
        <bgColor rgb="FFFB837D"/>
      </patternFill>
    </fill>
    <fill>
      <patternFill patternType="solid">
        <fgColor rgb="FFFFD965"/>
        <bgColor rgb="FFFFD965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F8F9FA"/>
        <bgColor rgb="FFF8F9FA"/>
      </patternFill>
    </fill>
  </fills>
  <borders count="3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5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/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/>
    <xf numFmtId="0" fontId="1" fillId="3" borderId="1" xfId="0" applyFont="1" applyFill="1" applyBorder="1" applyAlignment="1"/>
    <xf numFmtId="0" fontId="1" fillId="3" borderId="3" xfId="0" applyFont="1" applyFill="1" applyBorder="1" applyAlignment="1"/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2" fillId="0" borderId="3" xfId="0" applyFont="1" applyBorder="1" applyAlignment="1"/>
    <xf numFmtId="0" fontId="5" fillId="4" borderId="0" xfId="0" applyFont="1" applyFill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6" fillId="4" borderId="3" xfId="0" applyFont="1" applyFill="1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/>
    <xf numFmtId="0" fontId="6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1" fillId="0" borderId="0" xfId="0" applyFont="1" applyAlignment="1"/>
    <xf numFmtId="0" fontId="11" fillId="0" borderId="0" xfId="0" applyFont="1" applyAlignment="1">
      <alignment horizontal="right"/>
    </xf>
    <xf numFmtId="0" fontId="11" fillId="0" borderId="0" xfId="0" applyFont="1" applyAlignment="1"/>
    <xf numFmtId="0" fontId="11" fillId="0" borderId="11" xfId="0" applyFont="1" applyBorder="1" applyAlignment="1"/>
    <xf numFmtId="0" fontId="11" fillId="0" borderId="12" xfId="0" applyFont="1" applyBorder="1" applyAlignment="1"/>
    <xf numFmtId="0" fontId="11" fillId="0" borderId="13" xfId="0" applyFont="1" applyBorder="1" applyAlignment="1"/>
    <xf numFmtId="0" fontId="11" fillId="0" borderId="13" xfId="0" applyFont="1" applyBorder="1" applyAlignment="1">
      <alignment horizontal="right"/>
    </xf>
    <xf numFmtId="0" fontId="11" fillId="0" borderId="8" xfId="0" applyFont="1" applyBorder="1" applyAlignment="1">
      <alignment horizontal="right"/>
    </xf>
    <xf numFmtId="0" fontId="11" fillId="0" borderId="13" xfId="0" applyFont="1" applyBorder="1" applyAlignment="1"/>
    <xf numFmtId="0" fontId="11" fillId="0" borderId="13" xfId="0" applyFont="1" applyBorder="1" applyAlignment="1">
      <alignment horizontal="right"/>
    </xf>
    <xf numFmtId="0" fontId="12" fillId="0" borderId="14" xfId="0" applyFont="1" applyBorder="1" applyAlignment="1"/>
    <xf numFmtId="0" fontId="11" fillId="0" borderId="14" xfId="0" applyFont="1" applyBorder="1" applyAlignment="1">
      <alignment horizontal="right"/>
    </xf>
    <xf numFmtId="0" fontId="11" fillId="0" borderId="15" xfId="0" applyFont="1" applyBorder="1" applyAlignment="1">
      <alignment horizontal="right"/>
    </xf>
    <xf numFmtId="0" fontId="11" fillId="0" borderId="7" xfId="0" applyFont="1" applyBorder="1" applyAlignment="1"/>
    <xf numFmtId="0" fontId="12" fillId="0" borderId="8" xfId="0" applyFont="1" applyBorder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3" fillId="5" borderId="3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vertical="center"/>
    </xf>
    <xf numFmtId="0" fontId="15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0" xfId="0" applyFont="1" applyFill="1"/>
    <xf numFmtId="0" fontId="14" fillId="7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vertical="center"/>
    </xf>
    <xf numFmtId="0" fontId="14" fillId="7" borderId="3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0" xfId="0" applyFont="1" applyFill="1"/>
    <xf numFmtId="0" fontId="14" fillId="6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vertical="center"/>
    </xf>
    <xf numFmtId="0" fontId="15" fillId="8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0" xfId="0" applyFont="1" applyFill="1"/>
    <xf numFmtId="0" fontId="15" fillId="6" borderId="3" xfId="0" applyFont="1" applyFill="1" applyBorder="1" applyAlignment="1">
      <alignment horizontal="center" vertical="center" wrapText="1"/>
    </xf>
    <xf numFmtId="0" fontId="10" fillId="9" borderId="0" xfId="0" applyFont="1" applyFill="1"/>
    <xf numFmtId="0" fontId="11" fillId="8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vertical="center"/>
    </xf>
    <xf numFmtId="0" fontId="14" fillId="9" borderId="3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/>
    </xf>
    <xf numFmtId="0" fontId="10" fillId="0" borderId="3" xfId="0" applyFont="1" applyBorder="1"/>
    <xf numFmtId="0" fontId="12" fillId="10" borderId="3" xfId="0" applyFont="1" applyFill="1" applyBorder="1" applyAlignment="1">
      <alignment horizontal="center" wrapText="1"/>
    </xf>
    <xf numFmtId="0" fontId="12" fillId="10" borderId="3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10" fillId="11" borderId="3" xfId="0" applyFont="1" applyFill="1" applyBorder="1" applyAlignment="1">
      <alignment horizontal="center"/>
    </xf>
    <xf numFmtId="0" fontId="10" fillId="12" borderId="3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13" borderId="3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/>
    <xf numFmtId="0" fontId="10" fillId="14" borderId="3" xfId="0" applyFont="1" applyFill="1" applyBorder="1" applyAlignment="1">
      <alignment horizontal="center"/>
    </xf>
    <xf numFmtId="0" fontId="10" fillId="11" borderId="3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wrapText="1"/>
    </xf>
    <xf numFmtId="0" fontId="11" fillId="15" borderId="3" xfId="0" applyFont="1" applyFill="1" applyBorder="1" applyAlignment="1">
      <alignment horizontal="center" wrapText="1"/>
    </xf>
    <xf numFmtId="0" fontId="10" fillId="15" borderId="3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 wrapText="1"/>
    </xf>
    <xf numFmtId="0" fontId="10" fillId="14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/>
    </xf>
    <xf numFmtId="0" fontId="9" fillId="15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" fillId="8" borderId="1" xfId="0" applyFont="1" applyFill="1" applyBorder="1" applyAlignment="1"/>
    <xf numFmtId="0" fontId="1" fillId="11" borderId="1" xfId="0" applyFont="1" applyFill="1" applyBorder="1" applyAlignment="1"/>
    <xf numFmtId="0" fontId="1" fillId="12" borderId="1" xfId="0" applyFont="1" applyFill="1" applyBorder="1" applyAlignment="1"/>
    <xf numFmtId="0" fontId="1" fillId="13" borderId="1" xfId="0" applyFont="1" applyFill="1" applyBorder="1" applyAlignment="1"/>
    <xf numFmtId="0" fontId="1" fillId="14" borderId="3" xfId="0" applyFont="1" applyFill="1" applyBorder="1" applyAlignment="1"/>
    <xf numFmtId="0" fontId="17" fillId="0" borderId="18" xfId="0" applyFont="1" applyBorder="1" applyAlignment="1"/>
    <xf numFmtId="0" fontId="11" fillId="0" borderId="19" xfId="0" applyFont="1" applyBorder="1"/>
    <xf numFmtId="0" fontId="12" fillId="0" borderId="19" xfId="0" applyFont="1" applyBorder="1"/>
    <xf numFmtId="1" fontId="12" fillId="16" borderId="20" xfId="0" applyNumberFormat="1" applyFont="1" applyFill="1" applyBorder="1" applyAlignment="1">
      <alignment horizontal="right"/>
    </xf>
    <xf numFmtId="0" fontId="11" fillId="0" borderId="21" xfId="0" applyFont="1" applyBorder="1"/>
    <xf numFmtId="0" fontId="11" fillId="0" borderId="0" xfId="0" applyFont="1"/>
    <xf numFmtId="0" fontId="12" fillId="0" borderId="0" xfId="0" applyFont="1"/>
    <xf numFmtId="1" fontId="12" fillId="16" borderId="22" xfId="0" applyNumberFormat="1" applyFont="1" applyFill="1" applyBorder="1" applyAlignment="1">
      <alignment horizontal="right"/>
    </xf>
    <xf numFmtId="0" fontId="12" fillId="17" borderId="23" xfId="0" applyFont="1" applyFill="1" applyBorder="1"/>
    <xf numFmtId="0" fontId="12" fillId="17" borderId="24" xfId="0" applyFont="1" applyFill="1" applyBorder="1" applyAlignment="1">
      <alignment horizontal="center"/>
    </xf>
    <xf numFmtId="0" fontId="11" fillId="18" borderId="27" xfId="0" applyFont="1" applyFill="1" applyBorder="1"/>
    <xf numFmtId="0" fontId="11" fillId="18" borderId="0" xfId="0" applyFont="1" applyFill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11" fillId="18" borderId="28" xfId="0" applyFont="1" applyFill="1" applyBorder="1" applyAlignment="1">
      <alignment horizontal="center"/>
    </xf>
    <xf numFmtId="0" fontId="11" fillId="18" borderId="0" xfId="0" applyFont="1" applyFill="1"/>
    <xf numFmtId="0" fontId="11" fillId="18" borderId="8" xfId="0" applyFont="1" applyFill="1" applyBorder="1" applyAlignment="1">
      <alignment horizontal="center"/>
    </xf>
    <xf numFmtId="0" fontId="11" fillId="4" borderId="0" xfId="0" applyFont="1" applyFill="1" applyAlignment="1"/>
    <xf numFmtId="0" fontId="11" fillId="18" borderId="7" xfId="0" applyFont="1" applyFill="1" applyBorder="1"/>
    <xf numFmtId="0" fontId="11" fillId="18" borderId="7" xfId="0" applyFont="1" applyFill="1" applyBorder="1" applyAlignment="1">
      <alignment horizontal="center"/>
    </xf>
    <xf numFmtId="0" fontId="11" fillId="18" borderId="15" xfId="0" applyFont="1" applyFill="1" applyBorder="1" applyAlignment="1">
      <alignment horizontal="center"/>
    </xf>
    <xf numFmtId="0" fontId="11" fillId="19" borderId="27" xfId="0" applyFont="1" applyFill="1" applyBorder="1"/>
    <xf numFmtId="0" fontId="11" fillId="19" borderId="0" xfId="0" applyFont="1" applyFill="1" applyAlignment="1">
      <alignment horizontal="center"/>
    </xf>
    <xf numFmtId="0" fontId="11" fillId="19" borderId="27" xfId="0" applyFont="1" applyFill="1" applyBorder="1" applyAlignment="1">
      <alignment horizontal="center"/>
    </xf>
    <xf numFmtId="0" fontId="11" fillId="19" borderId="28" xfId="0" applyFont="1" applyFill="1" applyBorder="1" applyAlignment="1">
      <alignment horizontal="center"/>
    </xf>
    <xf numFmtId="0" fontId="11" fillId="19" borderId="0" xfId="0" applyFont="1" applyFill="1"/>
    <xf numFmtId="0" fontId="11" fillId="19" borderId="8" xfId="0" applyFont="1" applyFill="1" applyBorder="1" applyAlignment="1">
      <alignment horizontal="center"/>
    </xf>
    <xf numFmtId="0" fontId="11" fillId="19" borderId="7" xfId="0" applyFont="1" applyFill="1" applyBorder="1"/>
    <xf numFmtId="0" fontId="11" fillId="19" borderId="7" xfId="0" applyFont="1" applyFill="1" applyBorder="1" applyAlignment="1">
      <alignment horizontal="center"/>
    </xf>
    <xf numFmtId="0" fontId="11" fillId="19" borderId="15" xfId="0" applyFont="1" applyFill="1" applyBorder="1" applyAlignment="1">
      <alignment horizontal="center"/>
    </xf>
    <xf numFmtId="0" fontId="11" fillId="20" borderId="27" xfId="0" applyFont="1" applyFill="1" applyBorder="1"/>
    <xf numFmtId="0" fontId="11" fillId="20" borderId="0" xfId="0" applyFont="1" applyFill="1" applyAlignment="1">
      <alignment horizontal="center"/>
    </xf>
    <xf numFmtId="0" fontId="11" fillId="20" borderId="27" xfId="0" applyFont="1" applyFill="1" applyBorder="1" applyAlignment="1">
      <alignment horizontal="center"/>
    </xf>
    <xf numFmtId="0" fontId="11" fillId="20" borderId="28" xfId="0" applyFont="1" applyFill="1" applyBorder="1" applyAlignment="1">
      <alignment horizontal="center"/>
    </xf>
    <xf numFmtId="0" fontId="11" fillId="20" borderId="0" xfId="0" applyFont="1" applyFill="1"/>
    <xf numFmtId="0" fontId="11" fillId="20" borderId="8" xfId="0" applyFont="1" applyFill="1" applyBorder="1" applyAlignment="1">
      <alignment horizontal="center"/>
    </xf>
    <xf numFmtId="0" fontId="11" fillId="20" borderId="7" xfId="0" applyFont="1" applyFill="1" applyBorder="1"/>
    <xf numFmtId="0" fontId="11" fillId="20" borderId="7" xfId="0" applyFont="1" applyFill="1" applyBorder="1" applyAlignment="1">
      <alignment horizontal="center"/>
    </xf>
    <xf numFmtId="0" fontId="11" fillId="20" borderId="15" xfId="0" applyFont="1" applyFill="1" applyBorder="1" applyAlignment="1">
      <alignment horizontal="center"/>
    </xf>
    <xf numFmtId="0" fontId="11" fillId="21" borderId="27" xfId="0" applyFont="1" applyFill="1" applyBorder="1"/>
    <xf numFmtId="0" fontId="11" fillId="21" borderId="0" xfId="0" applyFont="1" applyFill="1" applyAlignment="1">
      <alignment horizontal="center"/>
    </xf>
    <xf numFmtId="0" fontId="11" fillId="21" borderId="27" xfId="0" applyFont="1" applyFill="1" applyBorder="1" applyAlignment="1">
      <alignment horizontal="center"/>
    </xf>
    <xf numFmtId="0" fontId="11" fillId="21" borderId="28" xfId="0" applyFont="1" applyFill="1" applyBorder="1" applyAlignment="1">
      <alignment horizontal="center"/>
    </xf>
    <xf numFmtId="0" fontId="11" fillId="21" borderId="0" xfId="0" applyFont="1" applyFill="1"/>
    <xf numFmtId="0" fontId="11" fillId="21" borderId="8" xfId="0" applyFont="1" applyFill="1" applyBorder="1" applyAlignment="1">
      <alignment horizontal="center"/>
    </xf>
    <xf numFmtId="0" fontId="11" fillId="21" borderId="7" xfId="0" applyFont="1" applyFill="1" applyBorder="1"/>
    <xf numFmtId="0" fontId="11" fillId="21" borderId="7" xfId="0" applyFont="1" applyFill="1" applyBorder="1" applyAlignment="1">
      <alignment horizontal="center"/>
    </xf>
    <xf numFmtId="0" fontId="11" fillId="21" borderId="15" xfId="0" applyFont="1" applyFill="1" applyBorder="1" applyAlignment="1">
      <alignment horizontal="center"/>
    </xf>
    <xf numFmtId="0" fontId="11" fillId="22" borderId="27" xfId="0" applyFont="1" applyFill="1" applyBorder="1"/>
    <xf numFmtId="0" fontId="11" fillId="22" borderId="0" xfId="0" applyFont="1" applyFill="1" applyAlignment="1">
      <alignment horizontal="center"/>
    </xf>
    <xf numFmtId="0" fontId="11" fillId="22" borderId="27" xfId="0" applyFont="1" applyFill="1" applyBorder="1" applyAlignment="1">
      <alignment horizontal="center"/>
    </xf>
    <xf numFmtId="0" fontId="11" fillId="22" borderId="28" xfId="0" applyFont="1" applyFill="1" applyBorder="1" applyAlignment="1">
      <alignment horizontal="center"/>
    </xf>
    <xf numFmtId="0" fontId="11" fillId="22" borderId="0" xfId="0" applyFont="1" applyFill="1"/>
    <xf numFmtId="0" fontId="11" fillId="22" borderId="8" xfId="0" applyFont="1" applyFill="1" applyBorder="1" applyAlignment="1">
      <alignment horizontal="center"/>
    </xf>
    <xf numFmtId="0" fontId="11" fillId="22" borderId="7" xfId="0" applyFont="1" applyFill="1" applyBorder="1"/>
    <xf numFmtId="0" fontId="11" fillId="22" borderId="7" xfId="0" applyFont="1" applyFill="1" applyBorder="1" applyAlignment="1">
      <alignment horizontal="center"/>
    </xf>
    <xf numFmtId="0" fontId="11" fillId="22" borderId="15" xfId="0" applyFont="1" applyFill="1" applyBorder="1" applyAlignment="1">
      <alignment horizontal="center"/>
    </xf>
    <xf numFmtId="0" fontId="11" fillId="23" borderId="27" xfId="0" applyFont="1" applyFill="1" applyBorder="1"/>
    <xf numFmtId="0" fontId="11" fillId="23" borderId="0" xfId="0" applyFont="1" applyFill="1" applyAlignment="1">
      <alignment horizontal="center"/>
    </xf>
    <xf numFmtId="0" fontId="11" fillId="23" borderId="27" xfId="0" applyFont="1" applyFill="1" applyBorder="1" applyAlignment="1">
      <alignment horizontal="center"/>
    </xf>
    <xf numFmtId="0" fontId="11" fillId="23" borderId="28" xfId="0" applyFont="1" applyFill="1" applyBorder="1" applyAlignment="1">
      <alignment horizontal="center"/>
    </xf>
    <xf numFmtId="0" fontId="11" fillId="23" borderId="0" xfId="0" applyFont="1" applyFill="1"/>
    <xf numFmtId="0" fontId="11" fillId="23" borderId="8" xfId="0" applyFont="1" applyFill="1" applyBorder="1" applyAlignment="1">
      <alignment horizontal="center"/>
    </xf>
    <xf numFmtId="0" fontId="11" fillId="23" borderId="7" xfId="0" applyFont="1" applyFill="1" applyBorder="1"/>
    <xf numFmtId="0" fontId="11" fillId="23" borderId="7" xfId="0" applyFont="1" applyFill="1" applyBorder="1" applyAlignment="1">
      <alignment horizontal="center"/>
    </xf>
    <xf numFmtId="0" fontId="11" fillId="23" borderId="15" xfId="0" applyFont="1" applyFill="1" applyBorder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 applyAlignment="1"/>
    <xf numFmtId="2" fontId="12" fillId="24" borderId="0" xfId="0" applyNumberFormat="1" applyFont="1" applyFill="1" applyAlignment="1">
      <alignment horizontal="right"/>
    </xf>
    <xf numFmtId="2" fontId="12" fillId="0" borderId="0" xfId="0" applyNumberFormat="1" applyFont="1" applyAlignment="1">
      <alignment horizontal="right"/>
    </xf>
    <xf numFmtId="0" fontId="11" fillId="25" borderId="31" xfId="0" applyFont="1" applyFill="1" applyBorder="1" applyAlignment="1"/>
    <xf numFmtId="0" fontId="11" fillId="18" borderId="27" xfId="0" applyFont="1" applyFill="1" applyBorder="1" applyAlignment="1"/>
    <xf numFmtId="0" fontId="11" fillId="18" borderId="27" xfId="0" applyFont="1" applyFill="1" applyBorder="1" applyAlignment="1">
      <alignment horizontal="center"/>
    </xf>
    <xf numFmtId="0" fontId="11" fillId="18" borderId="0" xfId="0" applyFont="1" applyFill="1" applyAlignment="1"/>
    <xf numFmtId="0" fontId="11" fillId="19" borderId="27" xfId="0" applyFont="1" applyFill="1" applyBorder="1" applyAlignment="1"/>
    <xf numFmtId="0" fontId="11" fillId="19" borderId="27" xfId="0" applyFont="1" applyFill="1" applyBorder="1" applyAlignment="1">
      <alignment horizontal="center"/>
    </xf>
    <xf numFmtId="0" fontId="11" fillId="19" borderId="0" xfId="0" applyFont="1" applyFill="1" applyAlignment="1"/>
    <xf numFmtId="0" fontId="11" fillId="19" borderId="0" xfId="0" applyFont="1" applyFill="1" applyAlignment="1">
      <alignment horizontal="center"/>
    </xf>
    <xf numFmtId="0" fontId="11" fillId="21" borderId="27" xfId="0" applyFont="1" applyFill="1" applyBorder="1" applyAlignment="1"/>
    <xf numFmtId="0" fontId="11" fillId="21" borderId="27" xfId="0" applyFont="1" applyFill="1" applyBorder="1" applyAlignment="1">
      <alignment horizontal="center"/>
    </xf>
    <xf numFmtId="0" fontId="12" fillId="17" borderId="27" xfId="0" applyFont="1" applyFill="1" applyBorder="1" applyAlignment="1">
      <alignment horizontal="center"/>
    </xf>
    <xf numFmtId="0" fontId="11" fillId="18" borderId="0" xfId="0" applyFont="1" applyFill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19" borderId="3" xfId="0" applyFont="1" applyFill="1" applyBorder="1" applyAlignment="1">
      <alignment horizontal="center"/>
    </xf>
    <xf numFmtId="0" fontId="11" fillId="20" borderId="27" xfId="0" applyFont="1" applyFill="1" applyBorder="1" applyAlignment="1"/>
    <xf numFmtId="0" fontId="11" fillId="21" borderId="0" xfId="0" applyFont="1" applyFill="1" applyAlignment="1"/>
    <xf numFmtId="0" fontId="11" fillId="22" borderId="27" xfId="0" applyFont="1" applyFill="1" applyBorder="1" applyAlignment="1"/>
    <xf numFmtId="0" fontId="11" fillId="23" borderId="27" xfId="0" applyFont="1" applyFill="1" applyBorder="1" applyAlignment="1"/>
    <xf numFmtId="0" fontId="11" fillId="23" borderId="0" xfId="0" applyFont="1" applyFill="1" applyAlignment="1"/>
    <xf numFmtId="0" fontId="2" fillId="0" borderId="5" xfId="0" applyFont="1" applyBorder="1" applyAlignment="1">
      <alignment horizontal="center" vertical="center"/>
    </xf>
    <xf numFmtId="0" fontId="4" fillId="0" borderId="6" xfId="0" applyFont="1" applyBorder="1"/>
    <xf numFmtId="0" fontId="4" fillId="0" borderId="4" xfId="0" applyFont="1" applyBorder="1"/>
    <xf numFmtId="0" fontId="1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11" fillId="0" borderId="9" xfId="0" applyFont="1" applyBorder="1" applyAlignment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/>
    </xf>
    <xf numFmtId="0" fontId="0" fillId="0" borderId="0" xfId="0" applyFont="1" applyAlignment="1"/>
    <xf numFmtId="0" fontId="4" fillId="0" borderId="7" xfId="0" applyFont="1" applyBorder="1"/>
    <xf numFmtId="0" fontId="11" fillId="0" borderId="8" xfId="0" applyFont="1" applyBorder="1" applyAlignment="1">
      <alignment horizontal="center"/>
    </xf>
    <xf numFmtId="0" fontId="4" fillId="0" borderId="8" xfId="0" applyFont="1" applyBorder="1"/>
    <xf numFmtId="0" fontId="13" fillId="5" borderId="16" xfId="0" applyFont="1" applyFill="1" applyBorder="1" applyAlignment="1">
      <alignment horizontal="center"/>
    </xf>
    <xf numFmtId="0" fontId="4" fillId="0" borderId="17" xfId="0" applyFont="1" applyBorder="1"/>
    <xf numFmtId="0" fontId="4" fillId="0" borderId="2" xfId="0" applyFont="1" applyBorder="1"/>
    <xf numFmtId="0" fontId="9" fillId="10" borderId="5" xfId="0" applyFont="1" applyFill="1" applyBorder="1" applyAlignment="1">
      <alignment horizontal="center" vertical="center"/>
    </xf>
    <xf numFmtId="0" fontId="9" fillId="15" borderId="5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2" fillId="17" borderId="24" xfId="0" applyFont="1" applyFill="1" applyBorder="1" applyAlignment="1">
      <alignment horizontal="center"/>
    </xf>
    <xf numFmtId="0" fontId="4" fillId="0" borderId="25" xfId="0" applyFont="1" applyBorder="1"/>
    <xf numFmtId="0" fontId="12" fillId="18" borderId="26" xfId="0" applyFont="1" applyFill="1" applyBorder="1" applyAlignment="1">
      <alignment horizontal="center"/>
    </xf>
    <xf numFmtId="0" fontId="4" fillId="0" borderId="29" xfId="0" applyFont="1" applyBorder="1"/>
    <xf numFmtId="0" fontId="4" fillId="0" borderId="30" xfId="0" applyFont="1" applyBorder="1"/>
    <xf numFmtId="0" fontId="12" fillId="19" borderId="26" xfId="0" applyFont="1" applyFill="1" applyBorder="1" applyAlignment="1">
      <alignment horizontal="center"/>
    </xf>
    <xf numFmtId="0" fontId="12" fillId="20" borderId="26" xfId="0" applyFont="1" applyFill="1" applyBorder="1" applyAlignment="1">
      <alignment horizontal="center"/>
    </xf>
    <xf numFmtId="0" fontId="12" fillId="21" borderId="26" xfId="0" applyFont="1" applyFill="1" applyBorder="1" applyAlignment="1">
      <alignment horizontal="center"/>
    </xf>
    <xf numFmtId="0" fontId="12" fillId="18" borderId="26" xfId="0" applyFont="1" applyFill="1" applyBorder="1" applyAlignment="1">
      <alignment horizontal="center" wrapText="1"/>
    </xf>
    <xf numFmtId="0" fontId="12" fillId="22" borderId="26" xfId="0" applyFont="1" applyFill="1" applyBorder="1" applyAlignment="1">
      <alignment horizontal="center"/>
    </xf>
    <xf numFmtId="0" fontId="12" fillId="23" borderId="26" xfId="0" applyFont="1" applyFill="1" applyBorder="1" applyAlignment="1">
      <alignment horizontal="center"/>
    </xf>
    <xf numFmtId="0" fontId="12" fillId="18" borderId="26" xfId="0" applyFont="1" applyFill="1" applyBorder="1" applyAlignment="1">
      <alignment horizontal="center" vertical="center"/>
    </xf>
    <xf numFmtId="0" fontId="12" fillId="19" borderId="26" xfId="0" applyFont="1" applyFill="1" applyBorder="1" applyAlignment="1">
      <alignment horizontal="center" vertical="center"/>
    </xf>
    <xf numFmtId="0" fontId="12" fillId="20" borderId="26" xfId="0" applyFont="1" applyFill="1" applyBorder="1" applyAlignment="1">
      <alignment horizontal="center" vertical="center"/>
    </xf>
    <xf numFmtId="0" fontId="12" fillId="21" borderId="26" xfId="0" applyFont="1" applyFill="1" applyBorder="1" applyAlignment="1">
      <alignment horizontal="center" vertical="center"/>
    </xf>
    <xf numFmtId="0" fontId="12" fillId="18" borderId="26" xfId="0" applyFont="1" applyFill="1" applyBorder="1" applyAlignment="1">
      <alignment horizontal="center" vertical="center" wrapText="1"/>
    </xf>
    <xf numFmtId="0" fontId="12" fillId="22" borderId="26" xfId="0" applyFont="1" applyFill="1" applyBorder="1" applyAlignment="1">
      <alignment horizontal="center" vertical="center"/>
    </xf>
    <xf numFmtId="0" fontId="12" fillId="23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Ao5A-wsrYvnMKUh2lcyUNVCPf8aeUNCCwok_qn1Wp_k/edit?usp=sharing" TargetMode="External"/><Relationship Id="rId2" Type="http://schemas.openxmlformats.org/officeDocument/2006/relationships/hyperlink" Target="https://docs.google.com/document/d/1Bvyx0Eq95LJxDCghjagDHk2N0JQ9Nk6DbwLoHwl06ks/edit" TargetMode="External"/><Relationship Id="rId1" Type="http://schemas.openxmlformats.org/officeDocument/2006/relationships/hyperlink" Target="https://docs.google.com/document/u/0/d/1lgb0lBGAPXl_y8_Zrf9pfWjwGGt-rRO0Vf7bs9yX9Bw/edit" TargetMode="External"/><Relationship Id="rId5" Type="http://schemas.openxmlformats.org/officeDocument/2006/relationships/hyperlink" Target="https://docs.google.com/document/d/1Bvyx0Eq95LJxDCghjagDHk2N0JQ9Nk6DbwLoHwl06ks/edit" TargetMode="External"/><Relationship Id="rId4" Type="http://schemas.openxmlformats.org/officeDocument/2006/relationships/hyperlink" Target="https://docs.google.com/document/u/0/d/10A_8hy1OcqIdFFHM6Uep9X976tge4bqoyN-AJMP73B4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6"/>
  <sheetViews>
    <sheetView workbookViewId="0"/>
  </sheetViews>
  <sheetFormatPr defaultColWidth="12.6640625" defaultRowHeight="15.75" customHeight="1"/>
  <cols>
    <col min="1" max="1" width="3.77734375" customWidth="1"/>
    <col min="2" max="2" width="9.6640625" customWidth="1"/>
    <col min="3" max="3" width="9.88671875" customWidth="1"/>
    <col min="4" max="4" width="63.88671875" customWidth="1"/>
    <col min="5" max="5" width="16" customWidth="1"/>
    <col min="6" max="6" width="17.88671875" customWidth="1"/>
    <col min="7" max="7" width="14" customWidth="1"/>
    <col min="9" max="9" width="20.109375" customWidth="1"/>
  </cols>
  <sheetData>
    <row r="1" spans="1:26" ht="13.2">
      <c r="A1" s="1"/>
      <c r="B1" s="1"/>
      <c r="C1" s="1"/>
      <c r="D1" s="1"/>
      <c r="E1" s="2" t="s">
        <v>0</v>
      </c>
      <c r="F1" s="2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>
      <c r="A2" s="3" t="s">
        <v>2</v>
      </c>
      <c r="B2" s="4" t="s">
        <v>3</v>
      </c>
      <c r="C2" s="4" t="s">
        <v>4</v>
      </c>
      <c r="D2" s="4" t="s">
        <v>5</v>
      </c>
      <c r="E2" s="5" t="s">
        <v>6</v>
      </c>
      <c r="F2" s="5" t="s">
        <v>7</v>
      </c>
      <c r="G2" s="6" t="s">
        <v>8</v>
      </c>
      <c r="H2" s="6" t="s">
        <v>9</v>
      </c>
      <c r="I2" s="6" t="s">
        <v>10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7">
        <v>1</v>
      </c>
      <c r="B3" s="3" t="s">
        <v>11</v>
      </c>
      <c r="C3" s="3" t="s">
        <v>12</v>
      </c>
      <c r="D3" s="3" t="s">
        <v>13</v>
      </c>
      <c r="E3" s="8" t="s">
        <v>14</v>
      </c>
      <c r="F3" s="8" t="s">
        <v>15</v>
      </c>
      <c r="G3" s="9" t="s">
        <v>16</v>
      </c>
      <c r="H3" s="198" t="s">
        <v>17</v>
      </c>
      <c r="I3" s="198">
        <f>84959871775</f>
        <v>84959871775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2">
      <c r="A4" s="7">
        <v>2</v>
      </c>
      <c r="B4" s="10" t="s">
        <v>18</v>
      </c>
      <c r="C4" s="10" t="s">
        <v>19</v>
      </c>
      <c r="D4" s="10" t="s">
        <v>20</v>
      </c>
      <c r="E4" s="8" t="s">
        <v>21</v>
      </c>
      <c r="F4" s="8" t="s">
        <v>22</v>
      </c>
      <c r="G4" s="8" t="s">
        <v>23</v>
      </c>
      <c r="H4" s="199"/>
      <c r="I4" s="19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2">
      <c r="A5" s="7">
        <v>3</v>
      </c>
      <c r="B5" s="10" t="s">
        <v>24</v>
      </c>
      <c r="C5" s="10" t="s">
        <v>25</v>
      </c>
      <c r="D5" s="10" t="s">
        <v>26</v>
      </c>
      <c r="E5" s="8" t="s">
        <v>15</v>
      </c>
      <c r="F5" s="8" t="s">
        <v>14</v>
      </c>
      <c r="G5" s="8" t="s">
        <v>27</v>
      </c>
      <c r="H5" s="199"/>
      <c r="I5" s="19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2">
      <c r="A6" s="7">
        <v>4</v>
      </c>
      <c r="B6" s="10" t="s">
        <v>28</v>
      </c>
      <c r="C6" s="10" t="s">
        <v>29</v>
      </c>
      <c r="D6" s="10" t="s">
        <v>30</v>
      </c>
      <c r="E6" s="8" t="s">
        <v>22</v>
      </c>
      <c r="F6" s="8" t="s">
        <v>31</v>
      </c>
      <c r="G6" s="8" t="s">
        <v>32</v>
      </c>
      <c r="H6" s="199"/>
      <c r="I6" s="19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>
      <c r="A7" s="7">
        <v>5</v>
      </c>
      <c r="B7" s="11" t="s">
        <v>33</v>
      </c>
      <c r="C7" s="11" t="s">
        <v>34</v>
      </c>
      <c r="D7" s="11" t="s">
        <v>35</v>
      </c>
      <c r="E7" s="8" t="s">
        <v>36</v>
      </c>
      <c r="F7" s="8" t="s">
        <v>37</v>
      </c>
      <c r="G7" s="9" t="s">
        <v>38</v>
      </c>
      <c r="H7" s="200"/>
      <c r="I7" s="20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2">
      <c r="A10" s="1"/>
      <c r="B10" s="12" t="s">
        <v>39</v>
      </c>
      <c r="C10" s="12" t="s">
        <v>40</v>
      </c>
      <c r="D10" s="13"/>
      <c r="E10" s="12" t="s">
        <v>41</v>
      </c>
      <c r="F10" s="14" t="s">
        <v>42</v>
      </c>
      <c r="G10" s="15" t="s">
        <v>43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2">
      <c r="A11" s="1"/>
      <c r="B11" s="201">
        <v>1</v>
      </c>
      <c r="C11" s="9" t="s">
        <v>44</v>
      </c>
      <c r="D11" s="16" t="s">
        <v>45</v>
      </c>
      <c r="E11" s="8" t="s">
        <v>46</v>
      </c>
      <c r="F11" s="1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6.4">
      <c r="A12" s="1"/>
      <c r="B12" s="200"/>
      <c r="C12" s="17" t="s">
        <v>47</v>
      </c>
      <c r="D12" s="18" t="s">
        <v>48</v>
      </c>
      <c r="E12" s="8" t="s">
        <v>46</v>
      </c>
      <c r="F12" s="13"/>
      <c r="G12" s="19" t="s">
        <v>49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2">
      <c r="A13" s="1"/>
      <c r="B13" s="8">
        <v>2</v>
      </c>
      <c r="C13" s="17" t="s">
        <v>50</v>
      </c>
      <c r="D13" s="20" t="s">
        <v>51</v>
      </c>
      <c r="E13" s="8" t="s">
        <v>19</v>
      </c>
      <c r="F13" s="202" t="s">
        <v>52</v>
      </c>
      <c r="G13" s="19" t="s">
        <v>53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4">
      <c r="A14" s="1"/>
      <c r="B14" s="8">
        <v>3</v>
      </c>
      <c r="C14" s="17" t="s">
        <v>54</v>
      </c>
      <c r="D14" s="20" t="s">
        <v>55</v>
      </c>
      <c r="E14" s="8" t="s">
        <v>19</v>
      </c>
      <c r="F14" s="199"/>
      <c r="G14" s="19" t="s">
        <v>56</v>
      </c>
      <c r="H14" s="2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2">
      <c r="A15" s="1"/>
      <c r="B15" s="8">
        <v>4</v>
      </c>
      <c r="C15" s="17" t="s">
        <v>57</v>
      </c>
      <c r="D15" s="20" t="s">
        <v>58</v>
      </c>
      <c r="E15" s="8" t="s">
        <v>19</v>
      </c>
      <c r="F15" s="200"/>
      <c r="G15" s="19" t="s">
        <v>59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4">
      <c r="A16" s="1"/>
      <c r="B16" s="8">
        <v>5</v>
      </c>
      <c r="C16" s="17" t="s">
        <v>60</v>
      </c>
      <c r="D16" s="20" t="s">
        <v>61</v>
      </c>
      <c r="E16" s="8" t="s">
        <v>34</v>
      </c>
      <c r="F16" s="22" t="s">
        <v>62</v>
      </c>
      <c r="G16" s="19" t="s">
        <v>63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2">
      <c r="A17" s="1"/>
      <c r="B17" s="8">
        <v>6</v>
      </c>
      <c r="C17" s="17" t="s">
        <v>64</v>
      </c>
      <c r="D17" s="20" t="s">
        <v>65</v>
      </c>
      <c r="E17" s="8" t="s">
        <v>66</v>
      </c>
      <c r="F17" s="202" t="s">
        <v>67</v>
      </c>
      <c r="G17" s="19" t="s">
        <v>68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2">
      <c r="A18" s="1"/>
      <c r="B18" s="8">
        <v>7</v>
      </c>
      <c r="C18" s="17" t="s">
        <v>69</v>
      </c>
      <c r="D18" s="20" t="s">
        <v>70</v>
      </c>
      <c r="E18" s="8" t="s">
        <v>66</v>
      </c>
      <c r="F18" s="200"/>
      <c r="G18" s="19" t="s">
        <v>71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2">
      <c r="A19" s="1"/>
      <c r="B19" s="8">
        <v>8</v>
      </c>
      <c r="C19" s="17" t="s">
        <v>72</v>
      </c>
      <c r="D19" s="20" t="s">
        <v>73</v>
      </c>
      <c r="E19" s="8" t="s">
        <v>74</v>
      </c>
      <c r="F19" s="202" t="s">
        <v>75</v>
      </c>
      <c r="G19" s="19" t="s">
        <v>76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6">
      <c r="A20" s="1"/>
      <c r="B20" s="8">
        <v>9</v>
      </c>
      <c r="C20" s="17" t="s">
        <v>77</v>
      </c>
      <c r="D20" s="20" t="s">
        <v>78</v>
      </c>
      <c r="E20" s="8" t="s">
        <v>74</v>
      </c>
      <c r="F20" s="200"/>
      <c r="G20" s="19" t="s">
        <v>79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4">
      <c r="A21" s="1"/>
      <c r="B21" s="8">
        <v>10</v>
      </c>
      <c r="C21" s="17" t="s">
        <v>80</v>
      </c>
      <c r="D21" s="20" t="s">
        <v>81</v>
      </c>
      <c r="E21" s="8" t="s">
        <v>34</v>
      </c>
      <c r="F21" s="22" t="s">
        <v>62</v>
      </c>
      <c r="G21" s="19" t="s">
        <v>82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>
      <c r="A24" s="1"/>
      <c r="B24" s="1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>
      <c r="A26" s="1"/>
      <c r="B26" s="1"/>
      <c r="C26" s="1"/>
      <c r="D26" s="1"/>
      <c r="E26" s="1"/>
      <c r="F26" s="1"/>
      <c r="G26" s="1"/>
      <c r="H26" s="1"/>
      <c r="I26" s="1"/>
      <c r="J26" s="2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6">
    <mergeCell ref="F19:F20"/>
    <mergeCell ref="H3:H7"/>
    <mergeCell ref="I3:I7"/>
    <mergeCell ref="B11:B12"/>
    <mergeCell ref="F13:F15"/>
    <mergeCell ref="F17:F18"/>
  </mergeCells>
  <hyperlinks>
    <hyperlink ref="F13" r:id="rId1"/>
    <hyperlink ref="F16" r:id="rId2"/>
    <hyperlink ref="F17" r:id="rId3"/>
    <hyperlink ref="F19" r:id="rId4"/>
    <hyperlink ref="F21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F10"/>
  <sheetViews>
    <sheetView workbookViewId="0"/>
  </sheetViews>
  <sheetFormatPr defaultColWidth="12.6640625" defaultRowHeight="15.75" customHeight="1"/>
  <cols>
    <col min="2" max="2" width="14.6640625" customWidth="1"/>
  </cols>
  <sheetData>
    <row r="2" spans="1:6">
      <c r="A2" s="23" t="s">
        <v>83</v>
      </c>
      <c r="B2" s="23" t="s">
        <v>84</v>
      </c>
      <c r="C2" s="23" t="s">
        <v>85</v>
      </c>
      <c r="D2" s="23" t="s">
        <v>86</v>
      </c>
      <c r="F2" s="23" t="s">
        <v>87</v>
      </c>
    </row>
    <row r="3" spans="1:6">
      <c r="F3" s="24" t="s">
        <v>88</v>
      </c>
    </row>
    <row r="4" spans="1:6">
      <c r="A4" s="24" t="s">
        <v>12</v>
      </c>
      <c r="B4" s="24" t="s">
        <v>89</v>
      </c>
      <c r="C4" s="24">
        <v>1000</v>
      </c>
    </row>
    <row r="5" spans="1:6">
      <c r="A5" s="24" t="s">
        <v>66</v>
      </c>
      <c r="B5" s="24" t="s">
        <v>90</v>
      </c>
    </row>
    <row r="6" spans="1:6">
      <c r="A6" s="24" t="s">
        <v>66</v>
      </c>
      <c r="B6" s="24" t="s">
        <v>91</v>
      </c>
      <c r="C6" s="24">
        <v>550</v>
      </c>
    </row>
    <row r="7" spans="1:6">
      <c r="A7" s="24" t="s">
        <v>92</v>
      </c>
      <c r="B7" s="24" t="s">
        <v>93</v>
      </c>
    </row>
    <row r="8" spans="1:6">
      <c r="A8" s="24" t="s">
        <v>74</v>
      </c>
      <c r="B8" s="24" t="s">
        <v>94</v>
      </c>
      <c r="C8" s="24">
        <v>7850</v>
      </c>
    </row>
    <row r="9" spans="1:6">
      <c r="A9" s="24" t="s">
        <v>19</v>
      </c>
      <c r="B9" s="24" t="s">
        <v>91</v>
      </c>
      <c r="C9" s="24">
        <v>550</v>
      </c>
    </row>
    <row r="10" spans="1:6">
      <c r="A10" s="24" t="s">
        <v>19</v>
      </c>
      <c r="B10" s="24" t="s">
        <v>95</v>
      </c>
      <c r="C10" s="24">
        <v>452</v>
      </c>
      <c r="D10" s="2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68"/>
  <sheetViews>
    <sheetView tabSelected="1" topLeftCell="A25" workbookViewId="0"/>
  </sheetViews>
  <sheetFormatPr defaultColWidth="12.6640625" defaultRowHeight="15.75" customHeight="1"/>
  <sheetData>
    <row r="1" spans="1:37">
      <c r="A1" s="25"/>
      <c r="B1" s="25"/>
      <c r="C1" s="26"/>
      <c r="D1" s="26"/>
      <c r="E1" s="26"/>
      <c r="F1" s="26"/>
      <c r="G1" s="26"/>
      <c r="N1" s="24"/>
    </row>
    <row r="2" spans="1:37">
      <c r="A2" s="27" t="s">
        <v>97</v>
      </c>
      <c r="B2" s="206" t="s">
        <v>98</v>
      </c>
      <c r="C2" s="207"/>
      <c r="D2" s="207"/>
      <c r="E2" s="206" t="s">
        <v>99</v>
      </c>
      <c r="F2" s="207"/>
      <c r="G2" s="207"/>
      <c r="H2" s="206" t="s">
        <v>100</v>
      </c>
      <c r="I2" s="207"/>
      <c r="J2" s="207"/>
      <c r="K2" s="206" t="s">
        <v>101</v>
      </c>
      <c r="L2" s="207"/>
      <c r="M2" s="207"/>
      <c r="N2" s="206" t="s">
        <v>102</v>
      </c>
      <c r="O2" s="207"/>
      <c r="P2" s="207"/>
      <c r="Q2" s="206" t="s">
        <v>103</v>
      </c>
      <c r="R2" s="207"/>
      <c r="S2" s="207"/>
      <c r="T2" s="206" t="s">
        <v>104</v>
      </c>
      <c r="U2" s="207"/>
      <c r="V2" s="207"/>
      <c r="W2" s="206" t="s">
        <v>105</v>
      </c>
      <c r="X2" s="207"/>
      <c r="Y2" s="207"/>
      <c r="Z2" s="206" t="s">
        <v>106</v>
      </c>
      <c r="AA2" s="207"/>
      <c r="AB2" s="207"/>
      <c r="AC2" s="206" t="s">
        <v>107</v>
      </c>
      <c r="AD2" s="207"/>
      <c r="AE2" s="207"/>
      <c r="AF2" s="206" t="s">
        <v>108</v>
      </c>
      <c r="AG2" s="207"/>
      <c r="AH2" s="207"/>
      <c r="AI2" s="206"/>
      <c r="AJ2" s="207"/>
      <c r="AK2" s="207"/>
    </row>
    <row r="3" spans="1:37">
      <c r="A3" s="28">
        <v>5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</row>
    <row r="4" spans="1:37">
      <c r="A4" s="209" t="s">
        <v>109</v>
      </c>
      <c r="B4" s="203" t="s">
        <v>110</v>
      </c>
      <c r="C4" s="204"/>
      <c r="D4" s="205"/>
      <c r="E4" s="203" t="s">
        <v>111</v>
      </c>
      <c r="F4" s="204"/>
      <c r="G4" s="205"/>
      <c r="H4" s="203" t="s">
        <v>112</v>
      </c>
      <c r="I4" s="204"/>
      <c r="J4" s="205"/>
      <c r="K4" s="203" t="s">
        <v>113</v>
      </c>
      <c r="L4" s="204"/>
      <c r="M4" s="205"/>
      <c r="N4" s="203" t="s">
        <v>114</v>
      </c>
      <c r="O4" s="204"/>
      <c r="P4" s="205"/>
      <c r="Q4" s="203" t="s">
        <v>110</v>
      </c>
      <c r="R4" s="204"/>
      <c r="S4" s="205"/>
      <c r="T4" s="203" t="s">
        <v>111</v>
      </c>
      <c r="U4" s="204"/>
      <c r="V4" s="205"/>
      <c r="W4" s="203" t="s">
        <v>112</v>
      </c>
      <c r="X4" s="204"/>
      <c r="Y4" s="205"/>
      <c r="Z4" s="203" t="s">
        <v>113</v>
      </c>
      <c r="AA4" s="204"/>
      <c r="AB4" s="205"/>
      <c r="AC4" s="203" t="s">
        <v>114</v>
      </c>
      <c r="AD4" s="204"/>
      <c r="AE4" s="205"/>
      <c r="AF4" s="203" t="s">
        <v>114</v>
      </c>
      <c r="AG4" s="204"/>
      <c r="AH4" s="205"/>
      <c r="AI4" s="203"/>
      <c r="AJ4" s="204"/>
      <c r="AK4" s="205"/>
    </row>
    <row r="5" spans="1:37">
      <c r="A5" s="210"/>
      <c r="B5" s="29" t="s">
        <v>115</v>
      </c>
      <c r="C5" s="29" t="s">
        <v>116</v>
      </c>
      <c r="D5" s="30" t="s">
        <v>117</v>
      </c>
      <c r="E5" s="29" t="s">
        <v>115</v>
      </c>
      <c r="F5" s="29" t="s">
        <v>116</v>
      </c>
      <c r="G5" s="30" t="s">
        <v>117</v>
      </c>
      <c r="H5" s="29" t="s">
        <v>115</v>
      </c>
      <c r="I5" s="29" t="s">
        <v>116</v>
      </c>
      <c r="J5" s="30" t="s">
        <v>117</v>
      </c>
      <c r="K5" s="29" t="s">
        <v>115</v>
      </c>
      <c r="L5" s="29" t="s">
        <v>116</v>
      </c>
      <c r="M5" s="30" t="s">
        <v>117</v>
      </c>
      <c r="N5" s="29" t="s">
        <v>115</v>
      </c>
      <c r="O5" s="29" t="s">
        <v>116</v>
      </c>
      <c r="P5" s="30" t="s">
        <v>117</v>
      </c>
      <c r="Q5" s="29" t="s">
        <v>115</v>
      </c>
      <c r="R5" s="29" t="s">
        <v>116</v>
      </c>
      <c r="S5" s="30" t="s">
        <v>117</v>
      </c>
      <c r="T5" s="29" t="s">
        <v>115</v>
      </c>
      <c r="U5" s="29" t="s">
        <v>116</v>
      </c>
      <c r="V5" s="30" t="s">
        <v>117</v>
      </c>
      <c r="W5" s="29" t="s">
        <v>115</v>
      </c>
      <c r="X5" s="29" t="s">
        <v>116</v>
      </c>
      <c r="Y5" s="30" t="s">
        <v>117</v>
      </c>
      <c r="Z5" s="29" t="s">
        <v>115</v>
      </c>
      <c r="AA5" s="29" t="s">
        <v>116</v>
      </c>
      <c r="AB5" s="30" t="s">
        <v>117</v>
      </c>
      <c r="AC5" s="29" t="s">
        <v>115</v>
      </c>
      <c r="AD5" s="29" t="s">
        <v>116</v>
      </c>
      <c r="AE5" s="30" t="s">
        <v>117</v>
      </c>
      <c r="AF5" s="29" t="s">
        <v>115</v>
      </c>
      <c r="AG5" s="29" t="s">
        <v>116</v>
      </c>
      <c r="AH5" s="30" t="s">
        <v>117</v>
      </c>
      <c r="AI5" s="29"/>
      <c r="AJ5" s="29"/>
      <c r="AK5" s="30"/>
    </row>
    <row r="6" spans="1:37">
      <c r="A6" s="210"/>
      <c r="B6" s="31" t="s">
        <v>118</v>
      </c>
      <c r="C6" s="32">
        <v>60</v>
      </c>
      <c r="D6" s="33">
        <f t="shared" ref="D6:D16" si="0">C6*$A$3</f>
        <v>300</v>
      </c>
      <c r="E6" s="31" t="s">
        <v>119</v>
      </c>
      <c r="F6" s="32">
        <v>70</v>
      </c>
      <c r="G6" s="33">
        <f t="shared" ref="G6:G16" si="1">F6*$A$3</f>
        <v>350</v>
      </c>
      <c r="H6" s="31" t="s">
        <v>120</v>
      </c>
      <c r="I6" s="32">
        <v>60</v>
      </c>
      <c r="J6" s="33">
        <f t="shared" ref="J6:J16" si="2">I6*$A$3</f>
        <v>300</v>
      </c>
      <c r="K6" s="31" t="s">
        <v>121</v>
      </c>
      <c r="L6" s="32">
        <v>60</v>
      </c>
      <c r="M6" s="33">
        <f t="shared" ref="M6:M16" si="3">L6*$A$3</f>
        <v>300</v>
      </c>
      <c r="N6" s="31" t="s">
        <v>122</v>
      </c>
      <c r="O6" s="32">
        <v>70</v>
      </c>
      <c r="P6" s="33">
        <f t="shared" ref="P6:P16" si="4">O6*$A$3</f>
        <v>350</v>
      </c>
      <c r="Q6" s="31" t="s">
        <v>118</v>
      </c>
      <c r="R6" s="32">
        <v>60</v>
      </c>
      <c r="S6" s="33">
        <f t="shared" ref="S6:S16" si="5">R6*$A$3</f>
        <v>300</v>
      </c>
      <c r="T6" s="31" t="s">
        <v>119</v>
      </c>
      <c r="U6" s="32">
        <v>70</v>
      </c>
      <c r="V6" s="33">
        <f t="shared" ref="V6:V16" si="6">U6*$A$3</f>
        <v>350</v>
      </c>
      <c r="W6" s="31" t="s">
        <v>120</v>
      </c>
      <c r="X6" s="32">
        <v>60</v>
      </c>
      <c r="Y6" s="33">
        <f t="shared" ref="Y6:Y16" si="7">X6*$A$3</f>
        <v>300</v>
      </c>
      <c r="Z6" s="31" t="s">
        <v>121</v>
      </c>
      <c r="AA6" s="32">
        <v>60</v>
      </c>
      <c r="AB6" s="33">
        <f t="shared" ref="AB6:AB16" si="8">AA6*$A$3</f>
        <v>300</v>
      </c>
      <c r="AC6" s="31" t="s">
        <v>122</v>
      </c>
      <c r="AD6" s="32">
        <v>70</v>
      </c>
      <c r="AE6" s="33">
        <f t="shared" ref="AE6:AE16" si="9">AD6*$A$3</f>
        <v>350</v>
      </c>
      <c r="AF6" s="31" t="s">
        <v>122</v>
      </c>
      <c r="AG6" s="32">
        <v>70</v>
      </c>
      <c r="AH6" s="33">
        <f t="shared" ref="AH6:AH16" si="10">AG6*$A$3</f>
        <v>350</v>
      </c>
      <c r="AI6" s="34"/>
      <c r="AJ6" s="35"/>
      <c r="AK6" s="33"/>
    </row>
    <row r="7" spans="1:37">
      <c r="A7" s="210"/>
      <c r="B7" s="31" t="s">
        <v>123</v>
      </c>
      <c r="C7" s="32">
        <v>20</v>
      </c>
      <c r="D7" s="33">
        <f t="shared" si="0"/>
        <v>100</v>
      </c>
      <c r="E7" s="31" t="s">
        <v>123</v>
      </c>
      <c r="F7" s="32">
        <v>20</v>
      </c>
      <c r="G7" s="33">
        <f t="shared" si="1"/>
        <v>100</v>
      </c>
      <c r="H7" s="31" t="s">
        <v>123</v>
      </c>
      <c r="I7" s="32">
        <v>20</v>
      </c>
      <c r="J7" s="33">
        <f t="shared" si="2"/>
        <v>100</v>
      </c>
      <c r="K7" s="31" t="s">
        <v>123</v>
      </c>
      <c r="L7" s="32">
        <v>20</v>
      </c>
      <c r="M7" s="33">
        <f t="shared" si="3"/>
        <v>100</v>
      </c>
      <c r="N7" s="31" t="s">
        <v>123</v>
      </c>
      <c r="O7" s="32">
        <v>20</v>
      </c>
      <c r="P7" s="33">
        <f t="shared" si="4"/>
        <v>100</v>
      </c>
      <c r="Q7" s="31" t="s">
        <v>123</v>
      </c>
      <c r="R7" s="32">
        <v>20</v>
      </c>
      <c r="S7" s="33">
        <f t="shared" si="5"/>
        <v>100</v>
      </c>
      <c r="T7" s="31" t="s">
        <v>123</v>
      </c>
      <c r="U7" s="32">
        <v>20</v>
      </c>
      <c r="V7" s="33">
        <f t="shared" si="6"/>
        <v>100</v>
      </c>
      <c r="W7" s="31" t="s">
        <v>123</v>
      </c>
      <c r="X7" s="32">
        <v>20</v>
      </c>
      <c r="Y7" s="33">
        <f t="shared" si="7"/>
        <v>100</v>
      </c>
      <c r="Z7" s="31" t="s">
        <v>123</v>
      </c>
      <c r="AA7" s="32">
        <v>20</v>
      </c>
      <c r="AB7" s="33">
        <f t="shared" si="8"/>
        <v>100</v>
      </c>
      <c r="AC7" s="31" t="s">
        <v>123</v>
      </c>
      <c r="AD7" s="32">
        <v>20</v>
      </c>
      <c r="AE7" s="33">
        <f t="shared" si="9"/>
        <v>100</v>
      </c>
      <c r="AF7" s="31" t="s">
        <v>123</v>
      </c>
      <c r="AG7" s="32">
        <v>20</v>
      </c>
      <c r="AH7" s="33">
        <f t="shared" si="10"/>
        <v>100</v>
      </c>
      <c r="AI7" s="34"/>
      <c r="AJ7" s="35"/>
      <c r="AK7" s="33"/>
    </row>
    <row r="8" spans="1:37">
      <c r="A8" s="210"/>
      <c r="B8" s="31" t="s">
        <v>124</v>
      </c>
      <c r="C8" s="32">
        <v>4</v>
      </c>
      <c r="D8" s="33">
        <f t="shared" si="0"/>
        <v>20</v>
      </c>
      <c r="E8" s="31" t="s">
        <v>125</v>
      </c>
      <c r="F8" s="32">
        <v>15</v>
      </c>
      <c r="G8" s="33">
        <f t="shared" si="1"/>
        <v>75</v>
      </c>
      <c r="H8" s="31" t="s">
        <v>126</v>
      </c>
      <c r="I8" s="32">
        <v>20</v>
      </c>
      <c r="J8" s="33">
        <f t="shared" si="2"/>
        <v>100</v>
      </c>
      <c r="K8" s="31" t="s">
        <v>127</v>
      </c>
      <c r="L8" s="32">
        <v>20</v>
      </c>
      <c r="M8" s="33">
        <f t="shared" si="3"/>
        <v>100</v>
      </c>
      <c r="N8" s="31" t="s">
        <v>128</v>
      </c>
      <c r="O8" s="32">
        <v>14</v>
      </c>
      <c r="P8" s="33">
        <f t="shared" si="4"/>
        <v>70</v>
      </c>
      <c r="Q8" s="31" t="s">
        <v>124</v>
      </c>
      <c r="R8" s="32">
        <v>4</v>
      </c>
      <c r="S8" s="33">
        <f t="shared" si="5"/>
        <v>20</v>
      </c>
      <c r="T8" s="31" t="s">
        <v>125</v>
      </c>
      <c r="U8" s="32">
        <v>15</v>
      </c>
      <c r="V8" s="33">
        <f t="shared" si="6"/>
        <v>75</v>
      </c>
      <c r="W8" s="31" t="s">
        <v>126</v>
      </c>
      <c r="X8" s="32">
        <v>20</v>
      </c>
      <c r="Y8" s="33">
        <f t="shared" si="7"/>
        <v>100</v>
      </c>
      <c r="Z8" s="31" t="s">
        <v>127</v>
      </c>
      <c r="AA8" s="32">
        <v>20</v>
      </c>
      <c r="AB8" s="33">
        <f t="shared" si="8"/>
        <v>100</v>
      </c>
      <c r="AC8" s="31" t="s">
        <v>128</v>
      </c>
      <c r="AD8" s="32">
        <v>14</v>
      </c>
      <c r="AE8" s="33">
        <f t="shared" si="9"/>
        <v>70</v>
      </c>
      <c r="AF8" s="31" t="s">
        <v>128</v>
      </c>
      <c r="AG8" s="32">
        <v>14</v>
      </c>
      <c r="AH8" s="33">
        <f t="shared" si="10"/>
        <v>70</v>
      </c>
      <c r="AI8" s="34"/>
      <c r="AJ8" s="35"/>
      <c r="AK8" s="33"/>
    </row>
    <row r="9" spans="1:37">
      <c r="A9" s="210"/>
      <c r="B9" s="31" t="s">
        <v>129</v>
      </c>
      <c r="C9" s="32">
        <v>10</v>
      </c>
      <c r="D9" s="33">
        <f t="shared" si="0"/>
        <v>50</v>
      </c>
      <c r="E9" s="31" t="s">
        <v>129</v>
      </c>
      <c r="F9" s="32">
        <v>10</v>
      </c>
      <c r="G9" s="33">
        <f t="shared" si="1"/>
        <v>50</v>
      </c>
      <c r="H9" s="31" t="s">
        <v>130</v>
      </c>
      <c r="I9" s="32">
        <v>5</v>
      </c>
      <c r="J9" s="33">
        <f t="shared" si="2"/>
        <v>25</v>
      </c>
      <c r="K9" s="31" t="s">
        <v>130</v>
      </c>
      <c r="L9" s="32">
        <v>5</v>
      </c>
      <c r="M9" s="33">
        <f t="shared" si="3"/>
        <v>25</v>
      </c>
      <c r="N9" s="31" t="s">
        <v>127</v>
      </c>
      <c r="O9" s="32">
        <v>20</v>
      </c>
      <c r="P9" s="33">
        <f t="shared" si="4"/>
        <v>100</v>
      </c>
      <c r="Q9" s="31" t="s">
        <v>129</v>
      </c>
      <c r="R9" s="32">
        <v>10</v>
      </c>
      <c r="S9" s="33">
        <f t="shared" si="5"/>
        <v>50</v>
      </c>
      <c r="T9" s="31" t="s">
        <v>129</v>
      </c>
      <c r="U9" s="32">
        <v>10</v>
      </c>
      <c r="V9" s="33">
        <f t="shared" si="6"/>
        <v>50</v>
      </c>
      <c r="W9" s="31" t="s">
        <v>130</v>
      </c>
      <c r="X9" s="32">
        <v>5</v>
      </c>
      <c r="Y9" s="33">
        <f t="shared" si="7"/>
        <v>25</v>
      </c>
      <c r="Z9" s="31" t="s">
        <v>130</v>
      </c>
      <c r="AA9" s="32">
        <v>5</v>
      </c>
      <c r="AB9" s="33">
        <f t="shared" si="8"/>
        <v>25</v>
      </c>
      <c r="AC9" s="31" t="s">
        <v>127</v>
      </c>
      <c r="AD9" s="32">
        <v>20</v>
      </c>
      <c r="AE9" s="33">
        <f t="shared" si="9"/>
        <v>100</v>
      </c>
      <c r="AF9" s="31" t="s">
        <v>127</v>
      </c>
      <c r="AG9" s="32">
        <v>20</v>
      </c>
      <c r="AH9" s="33">
        <f t="shared" si="10"/>
        <v>100</v>
      </c>
      <c r="AI9" s="34"/>
      <c r="AJ9" s="35"/>
      <c r="AK9" s="33"/>
    </row>
    <row r="10" spans="1:37">
      <c r="A10" s="210"/>
      <c r="B10" s="31" t="s">
        <v>130</v>
      </c>
      <c r="C10" s="32">
        <v>5</v>
      </c>
      <c r="D10" s="33">
        <f t="shared" si="0"/>
        <v>25</v>
      </c>
      <c r="E10" s="31" t="s">
        <v>130</v>
      </c>
      <c r="F10" s="32">
        <v>5</v>
      </c>
      <c r="G10" s="33">
        <f t="shared" si="1"/>
        <v>25</v>
      </c>
      <c r="H10" s="31" t="s">
        <v>131</v>
      </c>
      <c r="I10" s="32">
        <v>5</v>
      </c>
      <c r="J10" s="33">
        <f t="shared" si="2"/>
        <v>25</v>
      </c>
      <c r="K10" s="31" t="s">
        <v>131</v>
      </c>
      <c r="L10" s="32">
        <v>5</v>
      </c>
      <c r="M10" s="33">
        <f t="shared" si="3"/>
        <v>25</v>
      </c>
      <c r="N10" s="31" t="s">
        <v>130</v>
      </c>
      <c r="O10" s="32">
        <v>5</v>
      </c>
      <c r="P10" s="33">
        <f t="shared" si="4"/>
        <v>25</v>
      </c>
      <c r="Q10" s="31" t="s">
        <v>130</v>
      </c>
      <c r="R10" s="32">
        <v>5</v>
      </c>
      <c r="S10" s="33">
        <f t="shared" si="5"/>
        <v>25</v>
      </c>
      <c r="T10" s="31" t="s">
        <v>130</v>
      </c>
      <c r="U10" s="32">
        <v>5</v>
      </c>
      <c r="V10" s="33">
        <f t="shared" si="6"/>
        <v>25</v>
      </c>
      <c r="W10" s="31" t="s">
        <v>131</v>
      </c>
      <c r="X10" s="32">
        <v>5</v>
      </c>
      <c r="Y10" s="33">
        <f t="shared" si="7"/>
        <v>25</v>
      </c>
      <c r="Z10" s="31" t="s">
        <v>131</v>
      </c>
      <c r="AA10" s="32">
        <v>5</v>
      </c>
      <c r="AB10" s="33">
        <f t="shared" si="8"/>
        <v>25</v>
      </c>
      <c r="AC10" s="31" t="s">
        <v>130</v>
      </c>
      <c r="AD10" s="32">
        <v>5</v>
      </c>
      <c r="AE10" s="33">
        <f t="shared" si="9"/>
        <v>25</v>
      </c>
      <c r="AF10" s="31" t="s">
        <v>130</v>
      </c>
      <c r="AG10" s="32">
        <v>5</v>
      </c>
      <c r="AH10" s="33">
        <f t="shared" si="10"/>
        <v>25</v>
      </c>
      <c r="AI10" s="34"/>
      <c r="AJ10" s="35"/>
      <c r="AK10" s="33"/>
    </row>
    <row r="11" spans="1:37">
      <c r="A11" s="210"/>
      <c r="B11" s="31" t="s">
        <v>131</v>
      </c>
      <c r="C11" s="32">
        <v>5</v>
      </c>
      <c r="D11" s="33">
        <f t="shared" si="0"/>
        <v>25</v>
      </c>
      <c r="E11" s="31" t="s">
        <v>131</v>
      </c>
      <c r="F11" s="32">
        <v>5</v>
      </c>
      <c r="G11" s="33">
        <f t="shared" si="1"/>
        <v>25</v>
      </c>
      <c r="H11" s="31" t="s">
        <v>127</v>
      </c>
      <c r="I11" s="32">
        <v>30</v>
      </c>
      <c r="J11" s="33">
        <f t="shared" si="2"/>
        <v>150</v>
      </c>
      <c r="K11" s="31" t="s">
        <v>132</v>
      </c>
      <c r="L11" s="32">
        <v>51</v>
      </c>
      <c r="M11" s="33">
        <f t="shared" si="3"/>
        <v>255</v>
      </c>
      <c r="N11" s="31" t="s">
        <v>131</v>
      </c>
      <c r="O11" s="32">
        <v>5</v>
      </c>
      <c r="P11" s="33">
        <f t="shared" si="4"/>
        <v>25</v>
      </c>
      <c r="Q11" s="31" t="s">
        <v>131</v>
      </c>
      <c r="R11" s="32">
        <v>5</v>
      </c>
      <c r="S11" s="33">
        <f t="shared" si="5"/>
        <v>25</v>
      </c>
      <c r="T11" s="31" t="s">
        <v>131</v>
      </c>
      <c r="U11" s="32">
        <v>5</v>
      </c>
      <c r="V11" s="33">
        <f t="shared" si="6"/>
        <v>25</v>
      </c>
      <c r="W11" s="31" t="s">
        <v>127</v>
      </c>
      <c r="X11" s="32">
        <v>30</v>
      </c>
      <c r="Y11" s="33">
        <f t="shared" si="7"/>
        <v>150</v>
      </c>
      <c r="Z11" s="31" t="s">
        <v>132</v>
      </c>
      <c r="AA11" s="32">
        <v>40</v>
      </c>
      <c r="AB11" s="33">
        <f t="shared" si="8"/>
        <v>200</v>
      </c>
      <c r="AC11" s="31" t="s">
        <v>131</v>
      </c>
      <c r="AD11" s="32">
        <v>5</v>
      </c>
      <c r="AE11" s="33">
        <f t="shared" si="9"/>
        <v>25</v>
      </c>
      <c r="AF11" s="31" t="s">
        <v>131</v>
      </c>
      <c r="AG11" s="32">
        <v>5</v>
      </c>
      <c r="AH11" s="33">
        <f t="shared" si="10"/>
        <v>25</v>
      </c>
      <c r="AI11" s="34"/>
      <c r="AJ11" s="35"/>
      <c r="AK11" s="33"/>
    </row>
    <row r="12" spans="1:37">
      <c r="A12" s="210"/>
      <c r="B12" s="31" t="s">
        <v>133</v>
      </c>
      <c r="C12" s="32">
        <v>27</v>
      </c>
      <c r="D12" s="33">
        <f t="shared" si="0"/>
        <v>135</v>
      </c>
      <c r="E12" s="31" t="s">
        <v>134</v>
      </c>
      <c r="F12" s="32">
        <v>34.4</v>
      </c>
      <c r="G12" s="33">
        <f t="shared" si="1"/>
        <v>172</v>
      </c>
      <c r="H12" s="31" t="s">
        <v>135</v>
      </c>
      <c r="I12" s="32">
        <v>38</v>
      </c>
      <c r="J12" s="33">
        <f t="shared" si="2"/>
        <v>190</v>
      </c>
      <c r="K12" s="31"/>
      <c r="L12" s="32"/>
      <c r="M12" s="33">
        <f t="shared" si="3"/>
        <v>0</v>
      </c>
      <c r="N12" s="31" t="s">
        <v>136</v>
      </c>
      <c r="O12" s="32">
        <v>35</v>
      </c>
      <c r="P12" s="33">
        <f t="shared" si="4"/>
        <v>175</v>
      </c>
      <c r="Q12" s="31" t="s">
        <v>137</v>
      </c>
      <c r="R12" s="32">
        <v>14</v>
      </c>
      <c r="S12" s="33">
        <f t="shared" si="5"/>
        <v>70</v>
      </c>
      <c r="T12" s="31" t="s">
        <v>134</v>
      </c>
      <c r="U12" s="32">
        <v>36</v>
      </c>
      <c r="V12" s="33">
        <f t="shared" si="6"/>
        <v>180</v>
      </c>
      <c r="W12" s="31"/>
      <c r="X12" s="32"/>
      <c r="Y12" s="33">
        <f t="shared" si="7"/>
        <v>0</v>
      </c>
      <c r="Z12" s="31"/>
      <c r="AA12" s="32"/>
      <c r="AB12" s="33">
        <f t="shared" si="8"/>
        <v>0</v>
      </c>
      <c r="AC12" s="34"/>
      <c r="AD12" s="35"/>
      <c r="AE12" s="33">
        <f t="shared" si="9"/>
        <v>0</v>
      </c>
      <c r="AF12" s="34"/>
      <c r="AG12" s="35"/>
      <c r="AH12" s="33">
        <f t="shared" si="10"/>
        <v>0</v>
      </c>
      <c r="AI12" s="34"/>
      <c r="AJ12" s="35"/>
      <c r="AK12" s="33"/>
    </row>
    <row r="13" spans="1:37">
      <c r="A13" s="210"/>
      <c r="B13" s="31" t="s">
        <v>138</v>
      </c>
      <c r="C13" s="32">
        <v>40</v>
      </c>
      <c r="D13" s="33">
        <f t="shared" si="0"/>
        <v>200</v>
      </c>
      <c r="E13" s="31" t="s">
        <v>138</v>
      </c>
      <c r="F13" s="32">
        <v>40</v>
      </c>
      <c r="G13" s="33">
        <f t="shared" si="1"/>
        <v>200</v>
      </c>
      <c r="H13" s="31"/>
      <c r="I13" s="32"/>
      <c r="J13" s="33">
        <f t="shared" si="2"/>
        <v>0</v>
      </c>
      <c r="K13" s="34"/>
      <c r="L13" s="35"/>
      <c r="M13" s="33">
        <f t="shared" si="3"/>
        <v>0</v>
      </c>
      <c r="N13" s="34"/>
      <c r="O13" s="35"/>
      <c r="P13" s="33">
        <f t="shared" si="4"/>
        <v>0</v>
      </c>
      <c r="Q13" s="34"/>
      <c r="R13" s="35"/>
      <c r="S13" s="33">
        <f t="shared" si="5"/>
        <v>0</v>
      </c>
      <c r="T13" s="34"/>
      <c r="U13" s="35"/>
      <c r="V13" s="33">
        <f t="shared" si="6"/>
        <v>0</v>
      </c>
      <c r="W13" s="31"/>
      <c r="X13" s="32"/>
      <c r="Y13" s="33">
        <f t="shared" si="7"/>
        <v>0</v>
      </c>
      <c r="Z13" s="34"/>
      <c r="AA13" s="35"/>
      <c r="AB13" s="33">
        <f t="shared" si="8"/>
        <v>0</v>
      </c>
      <c r="AC13" s="34"/>
      <c r="AD13" s="35"/>
      <c r="AE13" s="33">
        <f t="shared" si="9"/>
        <v>0</v>
      </c>
      <c r="AF13" s="34"/>
      <c r="AG13" s="35"/>
      <c r="AH13" s="33">
        <f t="shared" si="10"/>
        <v>0</v>
      </c>
      <c r="AI13" s="34"/>
      <c r="AJ13" s="35"/>
      <c r="AK13" s="33"/>
    </row>
    <row r="14" spans="1:37">
      <c r="A14" s="210"/>
      <c r="B14" s="34"/>
      <c r="C14" s="35"/>
      <c r="D14" s="33">
        <f t="shared" si="0"/>
        <v>0</v>
      </c>
      <c r="E14" s="34"/>
      <c r="F14" s="35"/>
      <c r="G14" s="33">
        <f t="shared" si="1"/>
        <v>0</v>
      </c>
      <c r="H14" s="34"/>
      <c r="I14" s="35"/>
      <c r="J14" s="33">
        <f t="shared" si="2"/>
        <v>0</v>
      </c>
      <c r="K14" s="34"/>
      <c r="L14" s="35"/>
      <c r="M14" s="33">
        <f t="shared" si="3"/>
        <v>0</v>
      </c>
      <c r="N14" s="34"/>
      <c r="O14" s="35"/>
      <c r="P14" s="33">
        <f t="shared" si="4"/>
        <v>0</v>
      </c>
      <c r="Q14" s="34"/>
      <c r="R14" s="35"/>
      <c r="S14" s="33">
        <f t="shared" si="5"/>
        <v>0</v>
      </c>
      <c r="T14" s="34"/>
      <c r="U14" s="35"/>
      <c r="V14" s="33">
        <f t="shared" si="6"/>
        <v>0</v>
      </c>
      <c r="W14" s="34"/>
      <c r="X14" s="35"/>
      <c r="Y14" s="33">
        <f t="shared" si="7"/>
        <v>0</v>
      </c>
      <c r="Z14" s="34"/>
      <c r="AA14" s="35"/>
      <c r="AB14" s="33">
        <f t="shared" si="8"/>
        <v>0</v>
      </c>
      <c r="AC14" s="34"/>
      <c r="AD14" s="35"/>
      <c r="AE14" s="33">
        <f t="shared" si="9"/>
        <v>0</v>
      </c>
      <c r="AF14" s="34"/>
      <c r="AG14" s="35"/>
      <c r="AH14" s="33">
        <f t="shared" si="10"/>
        <v>0</v>
      </c>
      <c r="AI14" s="34"/>
      <c r="AJ14" s="35"/>
      <c r="AK14" s="33"/>
    </row>
    <row r="15" spans="1:37">
      <c r="A15" s="210"/>
      <c r="B15" s="34"/>
      <c r="C15" s="35"/>
      <c r="D15" s="33">
        <f t="shared" si="0"/>
        <v>0</v>
      </c>
      <c r="E15" s="34"/>
      <c r="F15" s="35"/>
      <c r="G15" s="33">
        <f t="shared" si="1"/>
        <v>0</v>
      </c>
      <c r="H15" s="34"/>
      <c r="I15" s="35"/>
      <c r="J15" s="33">
        <f t="shared" si="2"/>
        <v>0</v>
      </c>
      <c r="K15" s="34"/>
      <c r="L15" s="35"/>
      <c r="M15" s="33">
        <f t="shared" si="3"/>
        <v>0</v>
      </c>
      <c r="N15" s="34"/>
      <c r="O15" s="35"/>
      <c r="P15" s="33">
        <f t="shared" si="4"/>
        <v>0</v>
      </c>
      <c r="Q15" s="34"/>
      <c r="R15" s="35"/>
      <c r="S15" s="33">
        <f t="shared" si="5"/>
        <v>0</v>
      </c>
      <c r="T15" s="34"/>
      <c r="U15" s="35"/>
      <c r="V15" s="33">
        <f t="shared" si="6"/>
        <v>0</v>
      </c>
      <c r="W15" s="34"/>
      <c r="X15" s="35"/>
      <c r="Y15" s="33">
        <f t="shared" si="7"/>
        <v>0</v>
      </c>
      <c r="Z15" s="34"/>
      <c r="AA15" s="35"/>
      <c r="AB15" s="33">
        <f t="shared" si="8"/>
        <v>0</v>
      </c>
      <c r="AC15" s="34"/>
      <c r="AD15" s="35"/>
      <c r="AE15" s="33">
        <f t="shared" si="9"/>
        <v>0</v>
      </c>
      <c r="AF15" s="34"/>
      <c r="AG15" s="35"/>
      <c r="AH15" s="33">
        <f t="shared" si="10"/>
        <v>0</v>
      </c>
      <c r="AI15" s="34"/>
      <c r="AJ15" s="35"/>
      <c r="AK15" s="33"/>
    </row>
    <row r="16" spans="1:37">
      <c r="A16" s="210"/>
      <c r="B16" s="36" t="s">
        <v>139</v>
      </c>
      <c r="C16" s="37">
        <f>SUM(C6:C15)</f>
        <v>171</v>
      </c>
      <c r="D16" s="38">
        <f t="shared" si="0"/>
        <v>855</v>
      </c>
      <c r="E16" s="36" t="s">
        <v>139</v>
      </c>
      <c r="F16" s="37">
        <f>SUM(F6:F15)</f>
        <v>199.4</v>
      </c>
      <c r="G16" s="38">
        <f t="shared" si="1"/>
        <v>997</v>
      </c>
      <c r="H16" s="36" t="s">
        <v>139</v>
      </c>
      <c r="I16" s="37">
        <f>SUM(I6:I15)</f>
        <v>178</v>
      </c>
      <c r="J16" s="38">
        <f t="shared" si="2"/>
        <v>890</v>
      </c>
      <c r="K16" s="36" t="s">
        <v>139</v>
      </c>
      <c r="L16" s="37">
        <f>SUM(L6:L15)</f>
        <v>161</v>
      </c>
      <c r="M16" s="38">
        <f t="shared" si="3"/>
        <v>805</v>
      </c>
      <c r="N16" s="36" t="s">
        <v>139</v>
      </c>
      <c r="O16" s="37">
        <f>SUM(O6:O15)</f>
        <v>169</v>
      </c>
      <c r="P16" s="38">
        <f t="shared" si="4"/>
        <v>845</v>
      </c>
      <c r="Q16" s="36" t="s">
        <v>139</v>
      </c>
      <c r="R16" s="37">
        <f>SUM(R6:R15)</f>
        <v>118</v>
      </c>
      <c r="S16" s="38">
        <f t="shared" si="5"/>
        <v>590</v>
      </c>
      <c r="T16" s="36" t="s">
        <v>139</v>
      </c>
      <c r="U16" s="37">
        <f>SUM(U6:U15)</f>
        <v>161</v>
      </c>
      <c r="V16" s="38">
        <f t="shared" si="6"/>
        <v>805</v>
      </c>
      <c r="W16" s="36" t="s">
        <v>139</v>
      </c>
      <c r="X16" s="37">
        <f>SUM(X6:X15)</f>
        <v>140</v>
      </c>
      <c r="Y16" s="38">
        <f t="shared" si="7"/>
        <v>700</v>
      </c>
      <c r="Z16" s="36" t="s">
        <v>139</v>
      </c>
      <c r="AA16" s="37">
        <f>SUM(AA6:AA15)</f>
        <v>150</v>
      </c>
      <c r="AB16" s="38">
        <f t="shared" si="8"/>
        <v>750</v>
      </c>
      <c r="AC16" s="36" t="s">
        <v>139</v>
      </c>
      <c r="AD16" s="37">
        <f>SUM(AD6:AD15)</f>
        <v>134</v>
      </c>
      <c r="AE16" s="38">
        <f t="shared" si="9"/>
        <v>670</v>
      </c>
      <c r="AF16" s="36" t="s">
        <v>139</v>
      </c>
      <c r="AG16" s="37">
        <f>SUM(AG6:AG15)</f>
        <v>134</v>
      </c>
      <c r="AH16" s="38">
        <f t="shared" si="10"/>
        <v>670</v>
      </c>
      <c r="AI16" s="36"/>
      <c r="AJ16" s="37"/>
      <c r="AK16" s="38"/>
    </row>
    <row r="17" spans="1:3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</row>
    <row r="18" spans="1:37">
      <c r="A18" s="26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</row>
    <row r="19" spans="1:37">
      <c r="A19" s="209" t="s">
        <v>140</v>
      </c>
      <c r="B19" s="203" t="s">
        <v>141</v>
      </c>
      <c r="C19" s="204"/>
      <c r="D19" s="205"/>
      <c r="E19" s="203" t="s">
        <v>142</v>
      </c>
      <c r="F19" s="204"/>
      <c r="G19" s="205"/>
      <c r="H19" s="203" t="s">
        <v>143</v>
      </c>
      <c r="I19" s="204"/>
      <c r="J19" s="205"/>
      <c r="K19" s="203" t="s">
        <v>144</v>
      </c>
      <c r="L19" s="204"/>
      <c r="M19" s="205"/>
      <c r="N19" s="203" t="s">
        <v>145</v>
      </c>
      <c r="O19" s="204"/>
      <c r="P19" s="205"/>
      <c r="Q19" s="203" t="s">
        <v>141</v>
      </c>
      <c r="R19" s="204"/>
      <c r="S19" s="205"/>
      <c r="T19" s="203" t="s">
        <v>142</v>
      </c>
      <c r="U19" s="204"/>
      <c r="V19" s="205"/>
      <c r="W19" s="203" t="s">
        <v>143</v>
      </c>
      <c r="X19" s="204"/>
      <c r="Y19" s="205"/>
      <c r="Z19" s="203" t="s">
        <v>144</v>
      </c>
      <c r="AA19" s="204"/>
      <c r="AB19" s="205"/>
      <c r="AC19" s="203" t="s">
        <v>145</v>
      </c>
      <c r="AD19" s="204"/>
      <c r="AE19" s="205"/>
      <c r="AF19" s="203" t="s">
        <v>143</v>
      </c>
      <c r="AG19" s="204"/>
      <c r="AH19" s="205"/>
      <c r="AI19" s="203"/>
      <c r="AJ19" s="204"/>
      <c r="AK19" s="205"/>
    </row>
    <row r="20" spans="1:37">
      <c r="A20" s="210"/>
      <c r="B20" s="29" t="s">
        <v>115</v>
      </c>
      <c r="C20" s="29" t="s">
        <v>116</v>
      </c>
      <c r="D20" s="30" t="s">
        <v>117</v>
      </c>
      <c r="E20" s="29" t="s">
        <v>115</v>
      </c>
      <c r="F20" s="29" t="s">
        <v>116</v>
      </c>
      <c r="G20" s="30" t="s">
        <v>117</v>
      </c>
      <c r="H20" s="29" t="s">
        <v>115</v>
      </c>
      <c r="I20" s="29" t="s">
        <v>116</v>
      </c>
      <c r="J20" s="30" t="s">
        <v>117</v>
      </c>
      <c r="K20" s="29" t="s">
        <v>115</v>
      </c>
      <c r="L20" s="29" t="s">
        <v>116</v>
      </c>
      <c r="M20" s="30" t="s">
        <v>117</v>
      </c>
      <c r="N20" s="29" t="s">
        <v>115</v>
      </c>
      <c r="O20" s="29" t="s">
        <v>116</v>
      </c>
      <c r="P20" s="30" t="s">
        <v>117</v>
      </c>
      <c r="Q20" s="29" t="s">
        <v>115</v>
      </c>
      <c r="R20" s="29" t="s">
        <v>116</v>
      </c>
      <c r="S20" s="30" t="s">
        <v>117</v>
      </c>
      <c r="T20" s="29" t="s">
        <v>115</v>
      </c>
      <c r="U20" s="29" t="s">
        <v>116</v>
      </c>
      <c r="V20" s="30" t="s">
        <v>117</v>
      </c>
      <c r="W20" s="29" t="s">
        <v>115</v>
      </c>
      <c r="X20" s="29" t="s">
        <v>116</v>
      </c>
      <c r="Y20" s="30" t="s">
        <v>117</v>
      </c>
      <c r="Z20" s="29" t="s">
        <v>115</v>
      </c>
      <c r="AA20" s="29" t="s">
        <v>116</v>
      </c>
      <c r="AB20" s="30" t="s">
        <v>117</v>
      </c>
      <c r="AC20" s="29" t="s">
        <v>115</v>
      </c>
      <c r="AD20" s="29" t="s">
        <v>116</v>
      </c>
      <c r="AE20" s="30" t="s">
        <v>117</v>
      </c>
      <c r="AF20" s="29" t="s">
        <v>115</v>
      </c>
      <c r="AG20" s="29" t="s">
        <v>116</v>
      </c>
      <c r="AH20" s="30" t="s">
        <v>117</v>
      </c>
      <c r="AI20" s="29"/>
      <c r="AJ20" s="29"/>
      <c r="AK20" s="30"/>
    </row>
    <row r="21" spans="1:37">
      <c r="A21" s="210"/>
      <c r="B21" s="31" t="s">
        <v>146</v>
      </c>
      <c r="C21" s="32">
        <v>20</v>
      </c>
      <c r="D21" s="33">
        <f t="shared" ref="D21:D31" si="11">C21*$A$3</f>
        <v>100</v>
      </c>
      <c r="E21" s="31" t="s">
        <v>127</v>
      </c>
      <c r="F21" s="32">
        <v>20</v>
      </c>
      <c r="G21" s="33">
        <f t="shared" ref="G21:G31" si="12">F21*$A$3</f>
        <v>100</v>
      </c>
      <c r="H21" s="31" t="s">
        <v>147</v>
      </c>
      <c r="I21" s="32">
        <v>55</v>
      </c>
      <c r="J21" s="33">
        <f t="shared" ref="J21:J31" si="13">I21*$A$3</f>
        <v>275</v>
      </c>
      <c r="K21" s="31" t="s">
        <v>127</v>
      </c>
      <c r="L21" s="32">
        <v>20</v>
      </c>
      <c r="M21" s="33">
        <f t="shared" ref="M21:M31" si="14">L21*$A$3</f>
        <v>100</v>
      </c>
      <c r="N21" s="31" t="s">
        <v>127</v>
      </c>
      <c r="O21" s="32">
        <v>20</v>
      </c>
      <c r="P21" s="33">
        <f t="shared" ref="P21:P31" si="15">O21*$A$3</f>
        <v>100</v>
      </c>
      <c r="Q21" s="31" t="s">
        <v>146</v>
      </c>
      <c r="R21" s="32">
        <v>20</v>
      </c>
      <c r="S21" s="33">
        <f t="shared" ref="S21:S31" si="16">R21*$A$3</f>
        <v>100</v>
      </c>
      <c r="T21" s="31" t="s">
        <v>127</v>
      </c>
      <c r="U21" s="32">
        <v>20</v>
      </c>
      <c r="V21" s="33">
        <f t="shared" ref="V21:V31" si="17">U21*$A$3</f>
        <v>100</v>
      </c>
      <c r="W21" s="31" t="s">
        <v>147</v>
      </c>
      <c r="X21" s="32">
        <v>55</v>
      </c>
      <c r="Y21" s="33">
        <f t="shared" ref="Y21:Y31" si="18">X21*$A$3</f>
        <v>275</v>
      </c>
      <c r="Z21" s="31" t="s">
        <v>127</v>
      </c>
      <c r="AA21" s="32">
        <v>20</v>
      </c>
      <c r="AB21" s="33">
        <f t="shared" ref="AB21:AB31" si="19">AA21*$A$3</f>
        <v>100</v>
      </c>
      <c r="AC21" s="31" t="s">
        <v>127</v>
      </c>
      <c r="AD21" s="32">
        <v>20</v>
      </c>
      <c r="AE21" s="33">
        <f t="shared" ref="AE21:AE31" si="20">AD21*$A$3</f>
        <v>100</v>
      </c>
      <c r="AF21" s="34"/>
      <c r="AG21" s="35"/>
      <c r="AH21" s="33">
        <f t="shared" ref="AH21:AH31" si="21">AG21*$A$3</f>
        <v>0</v>
      </c>
      <c r="AI21" s="34"/>
      <c r="AJ21" s="35"/>
      <c r="AK21" s="33"/>
    </row>
    <row r="22" spans="1:37">
      <c r="A22" s="210"/>
      <c r="B22" s="31" t="s">
        <v>123</v>
      </c>
      <c r="C22" s="32">
        <v>20</v>
      </c>
      <c r="D22" s="33">
        <f t="shared" si="11"/>
        <v>100</v>
      </c>
      <c r="E22" s="31" t="s">
        <v>118</v>
      </c>
      <c r="F22" s="32">
        <v>40</v>
      </c>
      <c r="G22" s="33">
        <f t="shared" si="12"/>
        <v>200</v>
      </c>
      <c r="H22" s="31" t="s">
        <v>123</v>
      </c>
      <c r="I22" s="32">
        <v>20</v>
      </c>
      <c r="J22" s="33">
        <f t="shared" si="13"/>
        <v>100</v>
      </c>
      <c r="K22" s="31" t="s">
        <v>123</v>
      </c>
      <c r="L22" s="32">
        <v>20</v>
      </c>
      <c r="M22" s="33">
        <f t="shared" si="14"/>
        <v>100</v>
      </c>
      <c r="N22" s="31" t="s">
        <v>147</v>
      </c>
      <c r="O22" s="32">
        <v>55</v>
      </c>
      <c r="P22" s="33">
        <f t="shared" si="15"/>
        <v>275</v>
      </c>
      <c r="Q22" s="31" t="s">
        <v>123</v>
      </c>
      <c r="R22" s="32">
        <v>20</v>
      </c>
      <c r="S22" s="33">
        <f t="shared" si="16"/>
        <v>100</v>
      </c>
      <c r="T22" s="31" t="s">
        <v>118</v>
      </c>
      <c r="U22" s="32">
        <v>40</v>
      </c>
      <c r="V22" s="33">
        <f t="shared" si="17"/>
        <v>200</v>
      </c>
      <c r="W22" s="31" t="s">
        <v>123</v>
      </c>
      <c r="X22" s="32">
        <v>20</v>
      </c>
      <c r="Y22" s="33">
        <f t="shared" si="18"/>
        <v>100</v>
      </c>
      <c r="Z22" s="31" t="s">
        <v>123</v>
      </c>
      <c r="AA22" s="32">
        <v>20</v>
      </c>
      <c r="AB22" s="33">
        <f t="shared" si="19"/>
        <v>100</v>
      </c>
      <c r="AC22" s="31" t="s">
        <v>147</v>
      </c>
      <c r="AD22" s="32">
        <v>55</v>
      </c>
      <c r="AE22" s="33">
        <f t="shared" si="20"/>
        <v>275</v>
      </c>
      <c r="AF22" s="34"/>
      <c r="AG22" s="35"/>
      <c r="AH22" s="33">
        <f t="shared" si="21"/>
        <v>0</v>
      </c>
      <c r="AI22" s="34"/>
      <c r="AJ22" s="35"/>
      <c r="AK22" s="33"/>
    </row>
    <row r="23" spans="1:37">
      <c r="A23" s="210"/>
      <c r="B23" s="31" t="s">
        <v>148</v>
      </c>
      <c r="C23" s="32">
        <v>35</v>
      </c>
      <c r="D23" s="33">
        <f t="shared" si="11"/>
        <v>175</v>
      </c>
      <c r="E23" s="31" t="s">
        <v>123</v>
      </c>
      <c r="F23" s="32">
        <v>20</v>
      </c>
      <c r="G23" s="33">
        <f t="shared" si="12"/>
        <v>100</v>
      </c>
      <c r="H23" s="31" t="s">
        <v>127</v>
      </c>
      <c r="I23" s="32">
        <v>20</v>
      </c>
      <c r="J23" s="33">
        <f t="shared" si="13"/>
        <v>100</v>
      </c>
      <c r="K23" s="31" t="s">
        <v>149</v>
      </c>
      <c r="L23" s="32">
        <v>21</v>
      </c>
      <c r="M23" s="33">
        <f t="shared" si="14"/>
        <v>105</v>
      </c>
      <c r="N23" s="31" t="s">
        <v>123</v>
      </c>
      <c r="O23" s="32">
        <v>20</v>
      </c>
      <c r="P23" s="33">
        <f t="shared" si="15"/>
        <v>100</v>
      </c>
      <c r="Q23" s="31" t="s">
        <v>148</v>
      </c>
      <c r="R23" s="32">
        <v>35</v>
      </c>
      <c r="S23" s="33">
        <f t="shared" si="16"/>
        <v>175</v>
      </c>
      <c r="T23" s="31" t="s">
        <v>123</v>
      </c>
      <c r="U23" s="32">
        <v>20</v>
      </c>
      <c r="V23" s="33">
        <f t="shared" si="17"/>
        <v>100</v>
      </c>
      <c r="W23" s="31" t="s">
        <v>127</v>
      </c>
      <c r="X23" s="32">
        <v>20</v>
      </c>
      <c r="Y23" s="33">
        <f t="shared" si="18"/>
        <v>100</v>
      </c>
      <c r="Z23" s="31" t="s">
        <v>149</v>
      </c>
      <c r="AA23" s="32">
        <v>21</v>
      </c>
      <c r="AB23" s="33">
        <f t="shared" si="19"/>
        <v>105</v>
      </c>
      <c r="AC23" s="31" t="s">
        <v>123</v>
      </c>
      <c r="AD23" s="32">
        <v>20</v>
      </c>
      <c r="AE23" s="33">
        <f t="shared" si="20"/>
        <v>100</v>
      </c>
      <c r="AF23" s="34"/>
      <c r="AG23" s="35"/>
      <c r="AH23" s="33">
        <f t="shared" si="21"/>
        <v>0</v>
      </c>
      <c r="AI23" s="34"/>
      <c r="AJ23" s="35"/>
      <c r="AK23" s="33"/>
    </row>
    <row r="24" spans="1:37">
      <c r="A24" s="210"/>
      <c r="B24" s="31" t="s">
        <v>149</v>
      </c>
      <c r="C24" s="32">
        <v>21</v>
      </c>
      <c r="D24" s="33">
        <f t="shared" si="11"/>
        <v>105</v>
      </c>
      <c r="E24" s="31" t="s">
        <v>149</v>
      </c>
      <c r="F24" s="32">
        <v>21</v>
      </c>
      <c r="G24" s="33">
        <f t="shared" si="12"/>
        <v>105</v>
      </c>
      <c r="H24" s="31" t="s">
        <v>150</v>
      </c>
      <c r="I24" s="32">
        <v>3</v>
      </c>
      <c r="J24" s="33">
        <f t="shared" si="13"/>
        <v>15</v>
      </c>
      <c r="K24" s="31" t="s">
        <v>151</v>
      </c>
      <c r="L24" s="32">
        <v>30</v>
      </c>
      <c r="M24" s="33">
        <f t="shared" si="14"/>
        <v>150</v>
      </c>
      <c r="N24" s="31" t="s">
        <v>131</v>
      </c>
      <c r="O24" s="32">
        <v>5</v>
      </c>
      <c r="P24" s="33">
        <f t="shared" si="15"/>
        <v>25</v>
      </c>
      <c r="Q24" s="31" t="s">
        <v>149</v>
      </c>
      <c r="R24" s="32">
        <v>21</v>
      </c>
      <c r="S24" s="33">
        <f t="shared" si="16"/>
        <v>105</v>
      </c>
      <c r="T24" s="31" t="s">
        <v>149</v>
      </c>
      <c r="U24" s="32">
        <v>21</v>
      </c>
      <c r="V24" s="33">
        <f t="shared" si="17"/>
        <v>105</v>
      </c>
      <c r="W24" s="31" t="s">
        <v>150</v>
      </c>
      <c r="X24" s="32">
        <v>3</v>
      </c>
      <c r="Y24" s="33">
        <f t="shared" si="18"/>
        <v>15</v>
      </c>
      <c r="Z24" s="31" t="s">
        <v>151</v>
      </c>
      <c r="AA24" s="32">
        <v>30</v>
      </c>
      <c r="AB24" s="33">
        <f t="shared" si="19"/>
        <v>150</v>
      </c>
      <c r="AC24" s="31" t="s">
        <v>131</v>
      </c>
      <c r="AD24" s="32">
        <v>5</v>
      </c>
      <c r="AE24" s="33">
        <f t="shared" si="20"/>
        <v>25</v>
      </c>
      <c r="AF24" s="34"/>
      <c r="AG24" s="35"/>
      <c r="AH24" s="33">
        <f t="shared" si="21"/>
        <v>0</v>
      </c>
      <c r="AI24" s="34"/>
      <c r="AJ24" s="35"/>
      <c r="AK24" s="33"/>
    </row>
    <row r="25" spans="1:37">
      <c r="A25" s="210"/>
      <c r="B25" s="31" t="s">
        <v>150</v>
      </c>
      <c r="C25" s="32">
        <v>3</v>
      </c>
      <c r="D25" s="33">
        <f t="shared" si="11"/>
        <v>15</v>
      </c>
      <c r="E25" s="31" t="s">
        <v>150</v>
      </c>
      <c r="F25" s="32">
        <v>3</v>
      </c>
      <c r="G25" s="33">
        <f t="shared" si="12"/>
        <v>15</v>
      </c>
      <c r="H25" s="31" t="s">
        <v>130</v>
      </c>
      <c r="I25" s="32">
        <v>5</v>
      </c>
      <c r="J25" s="33">
        <f t="shared" si="13"/>
        <v>25</v>
      </c>
      <c r="K25" s="31" t="s">
        <v>130</v>
      </c>
      <c r="L25" s="32">
        <v>5</v>
      </c>
      <c r="M25" s="33">
        <f t="shared" si="14"/>
        <v>25</v>
      </c>
      <c r="N25" s="31" t="s">
        <v>150</v>
      </c>
      <c r="O25" s="32">
        <v>3</v>
      </c>
      <c r="P25" s="33">
        <f t="shared" si="15"/>
        <v>15</v>
      </c>
      <c r="Q25" s="31" t="s">
        <v>150</v>
      </c>
      <c r="R25" s="32">
        <v>3</v>
      </c>
      <c r="S25" s="33">
        <f t="shared" si="16"/>
        <v>15</v>
      </c>
      <c r="T25" s="31" t="s">
        <v>150</v>
      </c>
      <c r="U25" s="32">
        <v>3</v>
      </c>
      <c r="V25" s="33">
        <f t="shared" si="17"/>
        <v>15</v>
      </c>
      <c r="W25" s="31" t="s">
        <v>130</v>
      </c>
      <c r="X25" s="32">
        <v>5</v>
      </c>
      <c r="Y25" s="33">
        <f t="shared" si="18"/>
        <v>25</v>
      </c>
      <c r="Z25" s="31" t="s">
        <v>130</v>
      </c>
      <c r="AA25" s="32">
        <v>5</v>
      </c>
      <c r="AB25" s="33">
        <f t="shared" si="19"/>
        <v>25</v>
      </c>
      <c r="AC25" s="31" t="s">
        <v>150</v>
      </c>
      <c r="AD25" s="32">
        <v>3</v>
      </c>
      <c r="AE25" s="33">
        <f t="shared" si="20"/>
        <v>15</v>
      </c>
      <c r="AF25" s="34"/>
      <c r="AG25" s="35"/>
      <c r="AH25" s="33">
        <f t="shared" si="21"/>
        <v>0</v>
      </c>
      <c r="AI25" s="34"/>
      <c r="AJ25" s="35"/>
      <c r="AK25" s="33"/>
    </row>
    <row r="26" spans="1:37">
      <c r="A26" s="210"/>
      <c r="B26" s="31" t="s">
        <v>130</v>
      </c>
      <c r="C26" s="32">
        <v>5</v>
      </c>
      <c r="D26" s="33">
        <f t="shared" si="11"/>
        <v>25</v>
      </c>
      <c r="E26" s="31" t="s">
        <v>130</v>
      </c>
      <c r="F26" s="32">
        <v>5</v>
      </c>
      <c r="G26" s="33">
        <f t="shared" si="12"/>
        <v>25</v>
      </c>
      <c r="H26" s="31" t="s">
        <v>131</v>
      </c>
      <c r="I26" s="32">
        <v>5</v>
      </c>
      <c r="J26" s="33">
        <f t="shared" si="13"/>
        <v>25</v>
      </c>
      <c r="K26" s="31" t="s">
        <v>131</v>
      </c>
      <c r="L26" s="32">
        <v>5</v>
      </c>
      <c r="M26" s="33">
        <f t="shared" si="14"/>
        <v>25</v>
      </c>
      <c r="N26" s="31" t="s">
        <v>130</v>
      </c>
      <c r="O26" s="32">
        <v>5</v>
      </c>
      <c r="P26" s="33">
        <f t="shared" si="15"/>
        <v>25</v>
      </c>
      <c r="Q26" s="31" t="s">
        <v>130</v>
      </c>
      <c r="R26" s="32">
        <v>5</v>
      </c>
      <c r="S26" s="33">
        <f t="shared" si="16"/>
        <v>25</v>
      </c>
      <c r="T26" s="31" t="s">
        <v>130</v>
      </c>
      <c r="U26" s="32">
        <v>5</v>
      </c>
      <c r="V26" s="33">
        <f t="shared" si="17"/>
        <v>25</v>
      </c>
      <c r="W26" s="31" t="s">
        <v>131</v>
      </c>
      <c r="X26" s="32">
        <v>5</v>
      </c>
      <c r="Y26" s="33">
        <f t="shared" si="18"/>
        <v>25</v>
      </c>
      <c r="Z26" s="31" t="s">
        <v>131</v>
      </c>
      <c r="AA26" s="32">
        <v>5</v>
      </c>
      <c r="AB26" s="33">
        <f t="shared" si="19"/>
        <v>25</v>
      </c>
      <c r="AC26" s="31" t="s">
        <v>130</v>
      </c>
      <c r="AD26" s="32">
        <v>5</v>
      </c>
      <c r="AE26" s="33">
        <f t="shared" si="20"/>
        <v>25</v>
      </c>
      <c r="AF26" s="34"/>
      <c r="AG26" s="35"/>
      <c r="AH26" s="40">
        <f t="shared" si="21"/>
        <v>0</v>
      </c>
      <c r="AI26" s="34"/>
      <c r="AJ26" s="35"/>
      <c r="AK26" s="40"/>
    </row>
    <row r="27" spans="1:37">
      <c r="A27" s="210"/>
      <c r="B27" s="31" t="s">
        <v>131</v>
      </c>
      <c r="C27" s="32">
        <v>5</v>
      </c>
      <c r="D27" s="33">
        <f t="shared" si="11"/>
        <v>25</v>
      </c>
      <c r="E27" s="31" t="s">
        <v>131</v>
      </c>
      <c r="F27" s="32">
        <v>5</v>
      </c>
      <c r="G27" s="33">
        <f t="shared" si="12"/>
        <v>25</v>
      </c>
      <c r="H27" s="31"/>
      <c r="I27" s="32"/>
      <c r="J27" s="33">
        <f t="shared" si="13"/>
        <v>0</v>
      </c>
      <c r="K27" s="31" t="s">
        <v>152</v>
      </c>
      <c r="L27" s="32">
        <v>15</v>
      </c>
      <c r="M27" s="33">
        <f t="shared" si="14"/>
        <v>75</v>
      </c>
      <c r="N27" s="31"/>
      <c r="O27" s="32"/>
      <c r="P27" s="33">
        <f t="shared" si="15"/>
        <v>0</v>
      </c>
      <c r="Q27" s="31" t="s">
        <v>131</v>
      </c>
      <c r="R27" s="32">
        <v>5</v>
      </c>
      <c r="S27" s="33">
        <f t="shared" si="16"/>
        <v>25</v>
      </c>
      <c r="T27" s="31" t="s">
        <v>131</v>
      </c>
      <c r="U27" s="32">
        <v>5</v>
      </c>
      <c r="V27" s="33">
        <f t="shared" si="17"/>
        <v>25</v>
      </c>
      <c r="W27" s="31"/>
      <c r="X27" s="32"/>
      <c r="Y27" s="33">
        <f t="shared" si="18"/>
        <v>0</v>
      </c>
      <c r="Z27" s="31" t="s">
        <v>152</v>
      </c>
      <c r="AA27" s="32">
        <v>15</v>
      </c>
      <c r="AB27" s="33">
        <f t="shared" si="19"/>
        <v>75</v>
      </c>
      <c r="AC27" s="31"/>
      <c r="AD27" s="32"/>
      <c r="AE27" s="33">
        <f t="shared" si="20"/>
        <v>0</v>
      </c>
      <c r="AF27" s="34"/>
      <c r="AG27" s="35"/>
      <c r="AH27" s="33">
        <f t="shared" si="21"/>
        <v>0</v>
      </c>
      <c r="AI27" s="34"/>
      <c r="AJ27" s="35"/>
      <c r="AK27" s="33"/>
    </row>
    <row r="28" spans="1:37">
      <c r="A28" s="210"/>
      <c r="B28" s="31"/>
      <c r="C28" s="32"/>
      <c r="D28" s="33">
        <f t="shared" si="11"/>
        <v>0</v>
      </c>
      <c r="E28" s="34"/>
      <c r="F28" s="35"/>
      <c r="G28" s="33">
        <f t="shared" si="12"/>
        <v>0</v>
      </c>
      <c r="H28" s="34"/>
      <c r="I28" s="35"/>
      <c r="J28" s="33">
        <f t="shared" si="13"/>
        <v>0</v>
      </c>
      <c r="K28" s="31" t="s">
        <v>138</v>
      </c>
      <c r="L28" s="32">
        <v>40</v>
      </c>
      <c r="M28" s="33">
        <f t="shared" si="14"/>
        <v>200</v>
      </c>
      <c r="N28" s="31"/>
      <c r="O28" s="32"/>
      <c r="P28" s="33">
        <f t="shared" si="15"/>
        <v>0</v>
      </c>
      <c r="Q28" s="31" t="s">
        <v>153</v>
      </c>
      <c r="R28" s="32">
        <v>65</v>
      </c>
      <c r="S28" s="33">
        <f t="shared" si="16"/>
        <v>325</v>
      </c>
      <c r="T28" s="34"/>
      <c r="U28" s="35"/>
      <c r="V28" s="33">
        <f t="shared" si="17"/>
        <v>0</v>
      </c>
      <c r="W28" s="34"/>
      <c r="X28" s="35"/>
      <c r="Y28" s="33">
        <f t="shared" si="18"/>
        <v>0</v>
      </c>
      <c r="Z28" s="31"/>
      <c r="AA28" s="32"/>
      <c r="AB28" s="33">
        <f t="shared" si="19"/>
        <v>0</v>
      </c>
      <c r="AC28" s="31"/>
      <c r="AD28" s="32"/>
      <c r="AE28" s="33">
        <f t="shared" si="20"/>
        <v>0</v>
      </c>
      <c r="AF28" s="34"/>
      <c r="AG28" s="35"/>
      <c r="AH28" s="33">
        <f t="shared" si="21"/>
        <v>0</v>
      </c>
      <c r="AI28" s="34"/>
      <c r="AJ28" s="35"/>
      <c r="AK28" s="33"/>
    </row>
    <row r="29" spans="1:37">
      <c r="A29" s="210"/>
      <c r="B29" s="31" t="s">
        <v>154</v>
      </c>
      <c r="C29" s="32">
        <v>30</v>
      </c>
      <c r="D29" s="33">
        <f t="shared" si="11"/>
        <v>150</v>
      </c>
      <c r="E29" s="34"/>
      <c r="F29" s="35"/>
      <c r="G29" s="33">
        <f t="shared" si="12"/>
        <v>0</v>
      </c>
      <c r="H29" s="34"/>
      <c r="I29" s="35"/>
      <c r="J29" s="33">
        <f t="shared" si="13"/>
        <v>0</v>
      </c>
      <c r="K29" s="34"/>
      <c r="L29" s="35"/>
      <c r="M29" s="33">
        <f t="shared" si="14"/>
        <v>0</v>
      </c>
      <c r="N29" s="34"/>
      <c r="O29" s="35"/>
      <c r="P29" s="33">
        <f t="shared" si="15"/>
        <v>0</v>
      </c>
      <c r="Q29" s="31" t="s">
        <v>154</v>
      </c>
      <c r="R29" s="32">
        <v>30</v>
      </c>
      <c r="S29" s="33">
        <f t="shared" si="16"/>
        <v>150</v>
      </c>
      <c r="T29" s="34"/>
      <c r="U29" s="35"/>
      <c r="V29" s="33">
        <f t="shared" si="17"/>
        <v>0</v>
      </c>
      <c r="W29" s="34"/>
      <c r="X29" s="35"/>
      <c r="Y29" s="33">
        <f t="shared" si="18"/>
        <v>0</v>
      </c>
      <c r="Z29" s="34"/>
      <c r="AA29" s="35"/>
      <c r="AB29" s="33">
        <f t="shared" si="19"/>
        <v>0</v>
      </c>
      <c r="AC29" s="34"/>
      <c r="AD29" s="35"/>
      <c r="AE29" s="33">
        <f t="shared" si="20"/>
        <v>0</v>
      </c>
      <c r="AF29" s="34"/>
      <c r="AG29" s="35"/>
      <c r="AH29" s="33">
        <f t="shared" si="21"/>
        <v>0</v>
      </c>
      <c r="AI29" s="34"/>
      <c r="AJ29" s="35"/>
      <c r="AK29" s="33"/>
    </row>
    <row r="30" spans="1:37">
      <c r="A30" s="210"/>
      <c r="B30" s="34"/>
      <c r="C30" s="35"/>
      <c r="D30" s="33">
        <f t="shared" si="11"/>
        <v>0</v>
      </c>
      <c r="E30" s="34"/>
      <c r="F30" s="34"/>
      <c r="G30" s="33">
        <f t="shared" si="12"/>
        <v>0</v>
      </c>
      <c r="H30" s="34"/>
      <c r="I30" s="34"/>
      <c r="J30" s="33">
        <f t="shared" si="13"/>
        <v>0</v>
      </c>
      <c r="K30" s="34"/>
      <c r="L30" s="35"/>
      <c r="M30" s="33">
        <f t="shared" si="14"/>
        <v>0</v>
      </c>
      <c r="N30" s="34"/>
      <c r="O30" s="34"/>
      <c r="P30" s="33">
        <f t="shared" si="15"/>
        <v>0</v>
      </c>
      <c r="Q30" s="34"/>
      <c r="R30" s="35"/>
      <c r="S30" s="33">
        <f t="shared" si="16"/>
        <v>0</v>
      </c>
      <c r="T30" s="34"/>
      <c r="U30" s="34"/>
      <c r="V30" s="33">
        <f t="shared" si="17"/>
        <v>0</v>
      </c>
      <c r="W30" s="34"/>
      <c r="X30" s="34"/>
      <c r="Y30" s="33">
        <f t="shared" si="18"/>
        <v>0</v>
      </c>
      <c r="Z30" s="34"/>
      <c r="AA30" s="35"/>
      <c r="AB30" s="33">
        <f t="shared" si="19"/>
        <v>0</v>
      </c>
      <c r="AC30" s="34"/>
      <c r="AD30" s="34"/>
      <c r="AE30" s="33">
        <f t="shared" si="20"/>
        <v>0</v>
      </c>
      <c r="AF30" s="34"/>
      <c r="AG30" s="35"/>
      <c r="AH30" s="33">
        <f t="shared" si="21"/>
        <v>0</v>
      </c>
      <c r="AI30" s="34"/>
      <c r="AJ30" s="35"/>
      <c r="AK30" s="33"/>
    </row>
    <row r="31" spans="1:37">
      <c r="A31" s="210"/>
      <c r="B31" s="36" t="s">
        <v>139</v>
      </c>
      <c r="C31" s="37">
        <f>SUM(C21:C30)</f>
        <v>139</v>
      </c>
      <c r="D31" s="38">
        <f t="shared" si="11"/>
        <v>695</v>
      </c>
      <c r="E31" s="36" t="s">
        <v>139</v>
      </c>
      <c r="F31" s="37">
        <f>SUM(F21:F30)</f>
        <v>114</v>
      </c>
      <c r="G31" s="38">
        <f t="shared" si="12"/>
        <v>570</v>
      </c>
      <c r="H31" s="36" t="s">
        <v>139</v>
      </c>
      <c r="I31" s="37">
        <f>SUM(I21:I30)</f>
        <v>108</v>
      </c>
      <c r="J31" s="38">
        <f t="shared" si="13"/>
        <v>540</v>
      </c>
      <c r="K31" s="36" t="s">
        <v>139</v>
      </c>
      <c r="L31" s="37">
        <f>SUM(L21:L30)</f>
        <v>156</v>
      </c>
      <c r="M31" s="38">
        <f t="shared" si="14"/>
        <v>780</v>
      </c>
      <c r="N31" s="36" t="s">
        <v>139</v>
      </c>
      <c r="O31" s="37">
        <f>SUM(O21:O30)</f>
        <v>108</v>
      </c>
      <c r="P31" s="38">
        <f t="shared" si="15"/>
        <v>540</v>
      </c>
      <c r="Q31" s="36" t="s">
        <v>139</v>
      </c>
      <c r="R31" s="37">
        <f>SUM(R21:R30)</f>
        <v>204</v>
      </c>
      <c r="S31" s="38">
        <f t="shared" si="16"/>
        <v>1020</v>
      </c>
      <c r="T31" s="36" t="s">
        <v>139</v>
      </c>
      <c r="U31" s="37">
        <f>SUM(U21:U30)</f>
        <v>114</v>
      </c>
      <c r="V31" s="38">
        <f t="shared" si="17"/>
        <v>570</v>
      </c>
      <c r="W31" s="36" t="s">
        <v>139</v>
      </c>
      <c r="X31" s="37">
        <f>SUM(X21:X30)</f>
        <v>108</v>
      </c>
      <c r="Y31" s="38">
        <f t="shared" si="18"/>
        <v>540</v>
      </c>
      <c r="Z31" s="36" t="s">
        <v>139</v>
      </c>
      <c r="AA31" s="37">
        <f>SUM(AA21:AA30)</f>
        <v>116</v>
      </c>
      <c r="AB31" s="38">
        <f t="shared" si="19"/>
        <v>580</v>
      </c>
      <c r="AC31" s="36" t="s">
        <v>139</v>
      </c>
      <c r="AD31" s="37">
        <f>SUM(AD21:AD30)</f>
        <v>108</v>
      </c>
      <c r="AE31" s="38">
        <f t="shared" si="20"/>
        <v>540</v>
      </c>
      <c r="AF31" s="36" t="s">
        <v>139</v>
      </c>
      <c r="AG31" s="37">
        <f>SUM(AG21:AG30)</f>
        <v>0</v>
      </c>
      <c r="AH31" s="38">
        <f t="shared" si="21"/>
        <v>0</v>
      </c>
      <c r="AI31" s="36"/>
      <c r="AJ31" s="37"/>
      <c r="AK31" s="38"/>
    </row>
    <row r="32" spans="1:37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</row>
    <row r="33" spans="1:37">
      <c r="A33" s="26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</row>
    <row r="34" spans="1:37">
      <c r="A34" s="209" t="s">
        <v>155</v>
      </c>
      <c r="B34" s="203" t="s">
        <v>156</v>
      </c>
      <c r="C34" s="204"/>
      <c r="D34" s="205"/>
      <c r="E34" s="203" t="s">
        <v>157</v>
      </c>
      <c r="F34" s="204"/>
      <c r="G34" s="205"/>
      <c r="H34" s="203" t="s">
        <v>158</v>
      </c>
      <c r="I34" s="204"/>
      <c r="J34" s="205"/>
      <c r="K34" s="203" t="s">
        <v>159</v>
      </c>
      <c r="L34" s="204"/>
      <c r="M34" s="205"/>
      <c r="N34" s="203" t="s">
        <v>160</v>
      </c>
      <c r="O34" s="204"/>
      <c r="P34" s="205"/>
      <c r="Q34" s="203" t="s">
        <v>156</v>
      </c>
      <c r="R34" s="204"/>
      <c r="S34" s="205"/>
      <c r="T34" s="203" t="s">
        <v>157</v>
      </c>
      <c r="U34" s="204"/>
      <c r="V34" s="205"/>
      <c r="W34" s="203" t="s">
        <v>158</v>
      </c>
      <c r="X34" s="204"/>
      <c r="Y34" s="205"/>
      <c r="Z34" s="203" t="s">
        <v>159</v>
      </c>
      <c r="AA34" s="204"/>
      <c r="AB34" s="205"/>
      <c r="AC34" s="203" t="s">
        <v>160</v>
      </c>
      <c r="AD34" s="204"/>
      <c r="AE34" s="205"/>
      <c r="AF34" s="203" t="s">
        <v>161</v>
      </c>
      <c r="AG34" s="204"/>
      <c r="AH34" s="205"/>
      <c r="AI34" s="203"/>
      <c r="AJ34" s="204"/>
      <c r="AK34" s="205"/>
    </row>
    <row r="35" spans="1:37">
      <c r="A35" s="210"/>
      <c r="B35" s="29" t="s">
        <v>115</v>
      </c>
      <c r="C35" s="29" t="s">
        <v>116</v>
      </c>
      <c r="D35" s="30" t="s">
        <v>117</v>
      </c>
      <c r="E35" s="29" t="s">
        <v>115</v>
      </c>
      <c r="F35" s="29" t="s">
        <v>116</v>
      </c>
      <c r="G35" s="30" t="s">
        <v>117</v>
      </c>
      <c r="H35" s="29" t="s">
        <v>115</v>
      </c>
      <c r="I35" s="29" t="s">
        <v>116</v>
      </c>
      <c r="J35" s="30" t="s">
        <v>117</v>
      </c>
      <c r="K35" s="29" t="s">
        <v>115</v>
      </c>
      <c r="L35" s="29" t="s">
        <v>116</v>
      </c>
      <c r="M35" s="30" t="s">
        <v>117</v>
      </c>
      <c r="N35" s="29" t="s">
        <v>115</v>
      </c>
      <c r="O35" s="29" t="s">
        <v>116</v>
      </c>
      <c r="P35" s="30" t="s">
        <v>117</v>
      </c>
      <c r="Q35" s="29" t="s">
        <v>115</v>
      </c>
      <c r="R35" s="29" t="s">
        <v>116</v>
      </c>
      <c r="S35" s="30" t="s">
        <v>117</v>
      </c>
      <c r="T35" s="29" t="s">
        <v>115</v>
      </c>
      <c r="U35" s="29" t="s">
        <v>116</v>
      </c>
      <c r="V35" s="30" t="s">
        <v>117</v>
      </c>
      <c r="W35" s="29" t="s">
        <v>115</v>
      </c>
      <c r="X35" s="29" t="s">
        <v>116</v>
      </c>
      <c r="Y35" s="30" t="s">
        <v>117</v>
      </c>
      <c r="Z35" s="29" t="s">
        <v>115</v>
      </c>
      <c r="AA35" s="29" t="s">
        <v>116</v>
      </c>
      <c r="AB35" s="30" t="s">
        <v>117</v>
      </c>
      <c r="AC35" s="29" t="s">
        <v>115</v>
      </c>
      <c r="AD35" s="29" t="s">
        <v>116</v>
      </c>
      <c r="AE35" s="30" t="s">
        <v>117</v>
      </c>
      <c r="AF35" s="29" t="s">
        <v>115</v>
      </c>
      <c r="AG35" s="29" t="s">
        <v>116</v>
      </c>
      <c r="AH35" s="30" t="s">
        <v>117</v>
      </c>
      <c r="AI35" s="29"/>
      <c r="AJ35" s="29"/>
      <c r="AK35" s="30"/>
    </row>
    <row r="36" spans="1:37">
      <c r="A36" s="210"/>
      <c r="B36" s="31" t="s">
        <v>127</v>
      </c>
      <c r="C36" s="32">
        <v>30</v>
      </c>
      <c r="D36" s="33">
        <f t="shared" ref="D36:D47" si="22">C36*$A$3</f>
        <v>150</v>
      </c>
      <c r="E36" s="31" t="s">
        <v>127</v>
      </c>
      <c r="F36" s="31">
        <v>30</v>
      </c>
      <c r="G36" s="33">
        <f t="shared" ref="G36:G44" si="23">F36*$A$3</f>
        <v>150</v>
      </c>
      <c r="H36" s="31" t="s">
        <v>146</v>
      </c>
      <c r="I36" s="32">
        <v>30</v>
      </c>
      <c r="J36" s="33">
        <f t="shared" ref="J36:J44" si="24">I36*$A$3</f>
        <v>150</v>
      </c>
      <c r="K36" s="31" t="s">
        <v>146</v>
      </c>
      <c r="L36" s="31">
        <v>30</v>
      </c>
      <c r="M36" s="33">
        <f t="shared" ref="M36:M44" si="25">L36*$A$3</f>
        <v>150</v>
      </c>
      <c r="N36" s="31" t="s">
        <v>146</v>
      </c>
      <c r="O36" s="32">
        <v>30</v>
      </c>
      <c r="P36" s="33">
        <f t="shared" ref="P36:P44" si="26">O36*$A$3</f>
        <v>150</v>
      </c>
      <c r="Q36" s="31" t="s">
        <v>127</v>
      </c>
      <c r="R36" s="32">
        <v>30</v>
      </c>
      <c r="S36" s="33">
        <f t="shared" ref="S36:S47" si="27">R36*$A$3</f>
        <v>150</v>
      </c>
      <c r="T36" s="31" t="s">
        <v>127</v>
      </c>
      <c r="U36" s="31">
        <v>30</v>
      </c>
      <c r="V36" s="33">
        <f t="shared" ref="V36:V44" si="28">U36*$A$3</f>
        <v>150</v>
      </c>
      <c r="W36" s="31" t="s">
        <v>146</v>
      </c>
      <c r="X36" s="32">
        <v>30</v>
      </c>
      <c r="Y36" s="33">
        <f t="shared" ref="Y36:Y44" si="29">X36*$A$3</f>
        <v>150</v>
      </c>
      <c r="Z36" s="31" t="s">
        <v>146</v>
      </c>
      <c r="AA36" s="31">
        <v>30</v>
      </c>
      <c r="AB36" s="33">
        <f t="shared" ref="AB36:AB44" si="30">AA36*$A$3</f>
        <v>150</v>
      </c>
      <c r="AC36" s="31" t="s">
        <v>146</v>
      </c>
      <c r="AD36" s="32">
        <v>30</v>
      </c>
      <c r="AE36" s="33">
        <f t="shared" ref="AE36:AE44" si="31">AD36*$A$3</f>
        <v>150</v>
      </c>
      <c r="AF36" s="34"/>
      <c r="AG36" s="35"/>
      <c r="AH36" s="33">
        <f t="shared" ref="AH36:AH44" si="32">AG36*$A$3</f>
        <v>0</v>
      </c>
      <c r="AI36" s="34"/>
      <c r="AJ36" s="35"/>
      <c r="AK36" s="33"/>
    </row>
    <row r="37" spans="1:37">
      <c r="A37" s="210"/>
      <c r="B37" s="31" t="s">
        <v>162</v>
      </c>
      <c r="C37" s="32">
        <v>80</v>
      </c>
      <c r="D37" s="33">
        <f t="shared" si="22"/>
        <v>400</v>
      </c>
      <c r="E37" s="31" t="s">
        <v>121</v>
      </c>
      <c r="F37" s="31">
        <v>70</v>
      </c>
      <c r="G37" s="33">
        <f t="shared" si="23"/>
        <v>350</v>
      </c>
      <c r="H37" s="31" t="s">
        <v>163</v>
      </c>
      <c r="I37" s="32">
        <v>60</v>
      </c>
      <c r="J37" s="33">
        <f t="shared" si="24"/>
        <v>300</v>
      </c>
      <c r="K37" s="31" t="s">
        <v>164</v>
      </c>
      <c r="L37" s="31">
        <v>70</v>
      </c>
      <c r="M37" s="33">
        <f t="shared" si="25"/>
        <v>350</v>
      </c>
      <c r="N37" s="31" t="s">
        <v>118</v>
      </c>
      <c r="O37" s="32">
        <v>70</v>
      </c>
      <c r="P37" s="33">
        <f t="shared" si="26"/>
        <v>350</v>
      </c>
      <c r="Q37" s="31" t="s">
        <v>162</v>
      </c>
      <c r="R37" s="32">
        <v>80</v>
      </c>
      <c r="S37" s="33">
        <f t="shared" si="27"/>
        <v>400</v>
      </c>
      <c r="T37" s="31" t="s">
        <v>121</v>
      </c>
      <c r="U37" s="31">
        <v>70</v>
      </c>
      <c r="V37" s="33">
        <f t="shared" si="28"/>
        <v>350</v>
      </c>
      <c r="W37" s="31" t="s">
        <v>163</v>
      </c>
      <c r="X37" s="32">
        <v>60</v>
      </c>
      <c r="Y37" s="33">
        <f t="shared" si="29"/>
        <v>300</v>
      </c>
      <c r="Z37" s="31" t="s">
        <v>164</v>
      </c>
      <c r="AA37" s="31">
        <v>70</v>
      </c>
      <c r="AB37" s="33">
        <f t="shared" si="30"/>
        <v>350</v>
      </c>
      <c r="AC37" s="31" t="s">
        <v>118</v>
      </c>
      <c r="AD37" s="32">
        <v>70</v>
      </c>
      <c r="AE37" s="33">
        <f t="shared" si="31"/>
        <v>350</v>
      </c>
      <c r="AF37" s="34"/>
      <c r="AG37" s="35"/>
      <c r="AH37" s="33">
        <f t="shared" si="32"/>
        <v>0</v>
      </c>
      <c r="AI37" s="34"/>
      <c r="AJ37" s="35"/>
      <c r="AK37" s="33"/>
    </row>
    <row r="38" spans="1:37">
      <c r="A38" s="210"/>
      <c r="B38" s="31" t="s">
        <v>165</v>
      </c>
      <c r="C38" s="32">
        <v>20</v>
      </c>
      <c r="D38" s="33">
        <f t="shared" si="22"/>
        <v>100</v>
      </c>
      <c r="E38" s="31" t="s">
        <v>165</v>
      </c>
      <c r="F38" s="32">
        <v>20</v>
      </c>
      <c r="G38" s="33">
        <f t="shared" si="23"/>
        <v>100</v>
      </c>
      <c r="H38" s="31" t="s">
        <v>165</v>
      </c>
      <c r="I38" s="32">
        <v>20</v>
      </c>
      <c r="J38" s="33">
        <f t="shared" si="24"/>
        <v>100</v>
      </c>
      <c r="K38" s="31" t="s">
        <v>165</v>
      </c>
      <c r="L38" s="32">
        <v>20</v>
      </c>
      <c r="M38" s="33">
        <f t="shared" si="25"/>
        <v>100</v>
      </c>
      <c r="N38" s="31" t="s">
        <v>166</v>
      </c>
      <c r="O38" s="32">
        <v>20</v>
      </c>
      <c r="P38" s="33">
        <f t="shared" si="26"/>
        <v>100</v>
      </c>
      <c r="Q38" s="31" t="s">
        <v>165</v>
      </c>
      <c r="R38" s="32">
        <v>20</v>
      </c>
      <c r="S38" s="33">
        <f t="shared" si="27"/>
        <v>100</v>
      </c>
      <c r="T38" s="31" t="s">
        <v>165</v>
      </c>
      <c r="U38" s="32">
        <v>20</v>
      </c>
      <c r="V38" s="33">
        <f t="shared" si="28"/>
        <v>100</v>
      </c>
      <c r="W38" s="31" t="s">
        <v>165</v>
      </c>
      <c r="X38" s="32">
        <v>20</v>
      </c>
      <c r="Y38" s="33">
        <f t="shared" si="29"/>
        <v>100</v>
      </c>
      <c r="Z38" s="31" t="s">
        <v>165</v>
      </c>
      <c r="AA38" s="32">
        <v>20</v>
      </c>
      <c r="AB38" s="33">
        <f t="shared" si="30"/>
        <v>100</v>
      </c>
      <c r="AC38" s="31" t="s">
        <v>166</v>
      </c>
      <c r="AD38" s="32">
        <v>20</v>
      </c>
      <c r="AE38" s="33">
        <f t="shared" si="31"/>
        <v>100</v>
      </c>
      <c r="AF38" s="34"/>
      <c r="AG38" s="35"/>
      <c r="AH38" s="33">
        <f t="shared" si="32"/>
        <v>0</v>
      </c>
      <c r="AI38" s="34"/>
      <c r="AJ38" s="35"/>
      <c r="AK38" s="33"/>
    </row>
    <row r="39" spans="1:37">
      <c r="A39" s="210"/>
      <c r="B39" s="31" t="s">
        <v>167</v>
      </c>
      <c r="C39" s="32">
        <v>8</v>
      </c>
      <c r="D39" s="33">
        <f t="shared" si="22"/>
        <v>40</v>
      </c>
      <c r="E39" s="31" t="s">
        <v>149</v>
      </c>
      <c r="F39" s="32">
        <v>8</v>
      </c>
      <c r="G39" s="33">
        <f t="shared" si="23"/>
        <v>40</v>
      </c>
      <c r="H39" s="31" t="s">
        <v>168</v>
      </c>
      <c r="I39" s="32">
        <v>8</v>
      </c>
      <c r="J39" s="33">
        <f t="shared" si="24"/>
        <v>40</v>
      </c>
      <c r="K39" s="31" t="s">
        <v>169</v>
      </c>
      <c r="L39" s="32">
        <v>4</v>
      </c>
      <c r="M39" s="33">
        <f t="shared" si="25"/>
        <v>20</v>
      </c>
      <c r="N39" s="31" t="s">
        <v>165</v>
      </c>
      <c r="O39" s="32">
        <v>20</v>
      </c>
      <c r="P39" s="33">
        <f t="shared" si="26"/>
        <v>100</v>
      </c>
      <c r="Q39" s="31" t="s">
        <v>167</v>
      </c>
      <c r="R39" s="32">
        <v>8</v>
      </c>
      <c r="S39" s="33">
        <f t="shared" si="27"/>
        <v>40</v>
      </c>
      <c r="T39" s="31" t="s">
        <v>149</v>
      </c>
      <c r="U39" s="32">
        <v>8</v>
      </c>
      <c r="V39" s="33">
        <f t="shared" si="28"/>
        <v>40</v>
      </c>
      <c r="W39" s="31" t="s">
        <v>168</v>
      </c>
      <c r="X39" s="32">
        <v>8</v>
      </c>
      <c r="Y39" s="33">
        <f t="shared" si="29"/>
        <v>40</v>
      </c>
      <c r="Z39" s="31" t="s">
        <v>169</v>
      </c>
      <c r="AA39" s="32">
        <v>4</v>
      </c>
      <c r="AB39" s="33">
        <f t="shared" si="30"/>
        <v>20</v>
      </c>
      <c r="AC39" s="31" t="s">
        <v>165</v>
      </c>
      <c r="AD39" s="32">
        <v>20</v>
      </c>
      <c r="AE39" s="33">
        <f t="shared" si="31"/>
        <v>100</v>
      </c>
      <c r="AF39" s="34"/>
      <c r="AG39" s="35"/>
      <c r="AH39" s="33">
        <f t="shared" si="32"/>
        <v>0</v>
      </c>
      <c r="AI39" s="34"/>
      <c r="AJ39" s="35"/>
      <c r="AK39" s="33"/>
    </row>
    <row r="40" spans="1:37">
      <c r="A40" s="210"/>
      <c r="B40" s="31" t="s">
        <v>170</v>
      </c>
      <c r="C40" s="32">
        <v>30</v>
      </c>
      <c r="D40" s="33">
        <f t="shared" si="22"/>
        <v>150</v>
      </c>
      <c r="E40" s="31" t="s">
        <v>171</v>
      </c>
      <c r="F40" s="31">
        <v>10</v>
      </c>
      <c r="G40" s="33">
        <f t="shared" si="23"/>
        <v>50</v>
      </c>
      <c r="H40" s="31" t="s">
        <v>130</v>
      </c>
      <c r="I40" s="32">
        <v>5</v>
      </c>
      <c r="J40" s="33">
        <f t="shared" si="24"/>
        <v>25</v>
      </c>
      <c r="K40" s="31" t="s">
        <v>171</v>
      </c>
      <c r="L40" s="31">
        <v>10</v>
      </c>
      <c r="M40" s="33">
        <f t="shared" si="25"/>
        <v>50</v>
      </c>
      <c r="N40" s="31" t="s">
        <v>130</v>
      </c>
      <c r="O40" s="32">
        <v>5</v>
      </c>
      <c r="P40" s="33">
        <f t="shared" si="26"/>
        <v>25</v>
      </c>
      <c r="Q40" s="31" t="s">
        <v>170</v>
      </c>
      <c r="R40" s="32">
        <v>30</v>
      </c>
      <c r="S40" s="33">
        <f t="shared" si="27"/>
        <v>150</v>
      </c>
      <c r="T40" s="31" t="s">
        <v>171</v>
      </c>
      <c r="U40" s="31">
        <v>10</v>
      </c>
      <c r="V40" s="33">
        <f t="shared" si="28"/>
        <v>50</v>
      </c>
      <c r="W40" s="31" t="s">
        <v>130</v>
      </c>
      <c r="X40" s="32">
        <v>5</v>
      </c>
      <c r="Y40" s="33">
        <f t="shared" si="29"/>
        <v>25</v>
      </c>
      <c r="Z40" s="31" t="s">
        <v>171</v>
      </c>
      <c r="AA40" s="31">
        <v>10</v>
      </c>
      <c r="AB40" s="33">
        <f t="shared" si="30"/>
        <v>50</v>
      </c>
      <c r="AC40" s="31" t="s">
        <v>130</v>
      </c>
      <c r="AD40" s="32">
        <v>5</v>
      </c>
      <c r="AE40" s="33">
        <f t="shared" si="31"/>
        <v>25</v>
      </c>
      <c r="AF40" s="34"/>
      <c r="AG40" s="35"/>
      <c r="AH40" s="33">
        <f t="shared" si="32"/>
        <v>0</v>
      </c>
      <c r="AI40" s="34"/>
      <c r="AJ40" s="35"/>
      <c r="AK40" s="33"/>
    </row>
    <row r="41" spans="1:37">
      <c r="A41" s="210"/>
      <c r="B41" s="31" t="s">
        <v>130</v>
      </c>
      <c r="C41" s="32">
        <v>5</v>
      </c>
      <c r="D41" s="33">
        <f t="shared" si="22"/>
        <v>25</v>
      </c>
      <c r="E41" s="31" t="s">
        <v>130</v>
      </c>
      <c r="F41" s="32">
        <v>5</v>
      </c>
      <c r="G41" s="33">
        <f t="shared" si="23"/>
        <v>25</v>
      </c>
      <c r="H41" s="31" t="s">
        <v>131</v>
      </c>
      <c r="I41" s="32">
        <v>5</v>
      </c>
      <c r="J41" s="33">
        <f t="shared" si="24"/>
        <v>25</v>
      </c>
      <c r="K41" s="31" t="s">
        <v>130</v>
      </c>
      <c r="L41" s="32">
        <v>5</v>
      </c>
      <c r="M41" s="33">
        <f t="shared" si="25"/>
        <v>25</v>
      </c>
      <c r="N41" s="31" t="s">
        <v>152</v>
      </c>
      <c r="O41" s="32">
        <v>10</v>
      </c>
      <c r="P41" s="33">
        <f t="shared" si="26"/>
        <v>50</v>
      </c>
      <c r="Q41" s="31" t="s">
        <v>130</v>
      </c>
      <c r="R41" s="32">
        <v>5</v>
      </c>
      <c r="S41" s="33">
        <f t="shared" si="27"/>
        <v>25</v>
      </c>
      <c r="T41" s="31" t="s">
        <v>130</v>
      </c>
      <c r="U41" s="32">
        <v>5</v>
      </c>
      <c r="V41" s="33">
        <f t="shared" si="28"/>
        <v>25</v>
      </c>
      <c r="W41" s="31" t="s">
        <v>131</v>
      </c>
      <c r="X41" s="32">
        <v>5</v>
      </c>
      <c r="Y41" s="33">
        <f t="shared" si="29"/>
        <v>25</v>
      </c>
      <c r="Z41" s="31" t="s">
        <v>130</v>
      </c>
      <c r="AA41" s="32">
        <v>5</v>
      </c>
      <c r="AB41" s="33">
        <f t="shared" si="30"/>
        <v>25</v>
      </c>
      <c r="AC41" s="31" t="s">
        <v>152</v>
      </c>
      <c r="AD41" s="32">
        <v>10</v>
      </c>
      <c r="AE41" s="33">
        <f t="shared" si="31"/>
        <v>50</v>
      </c>
      <c r="AF41" s="34"/>
      <c r="AG41" s="35"/>
      <c r="AH41" s="33">
        <f t="shared" si="32"/>
        <v>0</v>
      </c>
      <c r="AI41" s="34"/>
      <c r="AJ41" s="35"/>
      <c r="AK41" s="33"/>
    </row>
    <row r="42" spans="1:37">
      <c r="A42" s="210"/>
      <c r="B42" s="31" t="s">
        <v>131</v>
      </c>
      <c r="C42" s="32">
        <v>5</v>
      </c>
      <c r="D42" s="33">
        <f t="shared" si="22"/>
        <v>25</v>
      </c>
      <c r="E42" s="31" t="s">
        <v>131</v>
      </c>
      <c r="F42" s="32">
        <v>5</v>
      </c>
      <c r="G42" s="33">
        <f t="shared" si="23"/>
        <v>25</v>
      </c>
      <c r="H42" s="31" t="s">
        <v>170</v>
      </c>
      <c r="I42" s="32">
        <v>30</v>
      </c>
      <c r="J42" s="33">
        <f t="shared" si="24"/>
        <v>150</v>
      </c>
      <c r="K42" s="31" t="s">
        <v>131</v>
      </c>
      <c r="L42" s="32">
        <v>5</v>
      </c>
      <c r="M42" s="33">
        <f t="shared" si="25"/>
        <v>25</v>
      </c>
      <c r="N42" s="31" t="s">
        <v>131</v>
      </c>
      <c r="O42" s="32">
        <v>5</v>
      </c>
      <c r="P42" s="33">
        <f t="shared" si="26"/>
        <v>25</v>
      </c>
      <c r="Q42" s="31" t="s">
        <v>131</v>
      </c>
      <c r="R42" s="32">
        <v>5</v>
      </c>
      <c r="S42" s="33">
        <f t="shared" si="27"/>
        <v>25</v>
      </c>
      <c r="T42" s="31" t="s">
        <v>131</v>
      </c>
      <c r="U42" s="32">
        <v>5</v>
      </c>
      <c r="V42" s="33">
        <f t="shared" si="28"/>
        <v>25</v>
      </c>
      <c r="W42" s="31" t="s">
        <v>170</v>
      </c>
      <c r="X42" s="32">
        <v>30</v>
      </c>
      <c r="Y42" s="33">
        <f t="shared" si="29"/>
        <v>150</v>
      </c>
      <c r="Z42" s="31" t="s">
        <v>131</v>
      </c>
      <c r="AA42" s="32">
        <v>5</v>
      </c>
      <c r="AB42" s="33">
        <f t="shared" si="30"/>
        <v>25</v>
      </c>
      <c r="AC42" s="34"/>
      <c r="AD42" s="35"/>
      <c r="AE42" s="33">
        <f t="shared" si="31"/>
        <v>0</v>
      </c>
      <c r="AF42" s="34"/>
      <c r="AG42" s="35"/>
      <c r="AH42" s="33">
        <f t="shared" si="32"/>
        <v>0</v>
      </c>
      <c r="AI42" s="34"/>
      <c r="AJ42" s="35"/>
      <c r="AK42" s="33"/>
    </row>
    <row r="43" spans="1:37">
      <c r="A43" s="210"/>
      <c r="B43" s="31"/>
      <c r="C43" s="32"/>
      <c r="D43" s="33">
        <f t="shared" si="22"/>
        <v>0</v>
      </c>
      <c r="E43" s="31" t="s">
        <v>170</v>
      </c>
      <c r="F43" s="32">
        <v>30</v>
      </c>
      <c r="G43" s="33">
        <f t="shared" si="23"/>
        <v>150</v>
      </c>
      <c r="H43" s="31" t="s">
        <v>126</v>
      </c>
      <c r="I43" s="32">
        <v>10</v>
      </c>
      <c r="J43" s="33">
        <f t="shared" si="24"/>
        <v>50</v>
      </c>
      <c r="K43" s="31" t="s">
        <v>170</v>
      </c>
      <c r="L43" s="32">
        <v>30</v>
      </c>
      <c r="M43" s="33">
        <f t="shared" si="25"/>
        <v>150</v>
      </c>
      <c r="N43" s="34"/>
      <c r="O43" s="35"/>
      <c r="P43" s="33">
        <f t="shared" si="26"/>
        <v>0</v>
      </c>
      <c r="Q43" s="31"/>
      <c r="R43" s="32"/>
      <c r="S43" s="33">
        <f t="shared" si="27"/>
        <v>0</v>
      </c>
      <c r="T43" s="31" t="s">
        <v>170</v>
      </c>
      <c r="U43" s="32">
        <v>30</v>
      </c>
      <c r="V43" s="33">
        <f t="shared" si="28"/>
        <v>150</v>
      </c>
      <c r="W43" s="31" t="s">
        <v>126</v>
      </c>
      <c r="X43" s="32">
        <v>10</v>
      </c>
      <c r="Y43" s="33">
        <f t="shared" si="29"/>
        <v>50</v>
      </c>
      <c r="Z43" s="31" t="s">
        <v>170</v>
      </c>
      <c r="AA43" s="32">
        <v>30</v>
      </c>
      <c r="AB43" s="33">
        <f t="shared" si="30"/>
        <v>150</v>
      </c>
      <c r="AC43" s="34"/>
      <c r="AD43" s="35"/>
      <c r="AE43" s="33">
        <f t="shared" si="31"/>
        <v>0</v>
      </c>
      <c r="AF43" s="34"/>
      <c r="AG43" s="35"/>
      <c r="AH43" s="33">
        <f t="shared" si="32"/>
        <v>0</v>
      </c>
      <c r="AI43" s="34"/>
      <c r="AJ43" s="35"/>
      <c r="AK43" s="33"/>
    </row>
    <row r="44" spans="1:37">
      <c r="A44" s="210"/>
      <c r="B44" s="34"/>
      <c r="C44" s="34"/>
      <c r="D44" s="33">
        <f t="shared" si="22"/>
        <v>0</v>
      </c>
      <c r="E44" s="34"/>
      <c r="F44" s="34"/>
      <c r="G44" s="33">
        <f t="shared" si="23"/>
        <v>0</v>
      </c>
      <c r="H44" s="34"/>
      <c r="I44" s="34"/>
      <c r="J44" s="33">
        <f t="shared" si="24"/>
        <v>0</v>
      </c>
      <c r="K44" s="31" t="s">
        <v>126</v>
      </c>
      <c r="L44" s="32">
        <v>10</v>
      </c>
      <c r="M44" s="33">
        <f t="shared" si="25"/>
        <v>50</v>
      </c>
      <c r="N44" s="34"/>
      <c r="O44" s="34"/>
      <c r="P44" s="33">
        <f t="shared" si="26"/>
        <v>0</v>
      </c>
      <c r="Q44" s="34"/>
      <c r="R44" s="34"/>
      <c r="S44" s="33">
        <f t="shared" si="27"/>
        <v>0</v>
      </c>
      <c r="T44" s="34"/>
      <c r="U44" s="34"/>
      <c r="V44" s="33">
        <f t="shared" si="28"/>
        <v>0</v>
      </c>
      <c r="W44" s="34"/>
      <c r="X44" s="34"/>
      <c r="Y44" s="33">
        <f t="shared" si="29"/>
        <v>0</v>
      </c>
      <c r="Z44" s="31" t="s">
        <v>126</v>
      </c>
      <c r="AA44" s="32">
        <v>10</v>
      </c>
      <c r="AB44" s="33">
        <f t="shared" si="30"/>
        <v>50</v>
      </c>
      <c r="AC44" s="34"/>
      <c r="AD44" s="34"/>
      <c r="AE44" s="33">
        <f t="shared" si="31"/>
        <v>0</v>
      </c>
      <c r="AF44" s="34"/>
      <c r="AG44" s="34"/>
      <c r="AH44" s="33">
        <f t="shared" si="32"/>
        <v>0</v>
      </c>
      <c r="AI44" s="34"/>
      <c r="AJ44" s="34"/>
      <c r="AK44" s="33"/>
    </row>
    <row r="45" spans="1:37">
      <c r="A45" s="210"/>
      <c r="B45" s="34"/>
      <c r="C45" s="34"/>
      <c r="D45" s="33">
        <f t="shared" si="22"/>
        <v>0</v>
      </c>
      <c r="E45" s="34"/>
      <c r="F45" s="34"/>
      <c r="G45" s="33"/>
      <c r="H45" s="34"/>
      <c r="I45" s="34"/>
      <c r="J45" s="33"/>
      <c r="K45" s="34"/>
      <c r="L45" s="34"/>
      <c r="M45" s="33"/>
      <c r="N45" s="34"/>
      <c r="O45" s="34"/>
      <c r="P45" s="33"/>
      <c r="Q45" s="34"/>
      <c r="R45" s="34"/>
      <c r="S45" s="33">
        <f t="shared" si="27"/>
        <v>0</v>
      </c>
      <c r="T45" s="34"/>
      <c r="U45" s="34"/>
      <c r="V45" s="33"/>
      <c r="W45" s="34"/>
      <c r="X45" s="34"/>
      <c r="Y45" s="33"/>
      <c r="Z45" s="34"/>
      <c r="AA45" s="34"/>
      <c r="AB45" s="33"/>
      <c r="AC45" s="34"/>
      <c r="AD45" s="34"/>
      <c r="AE45" s="33"/>
      <c r="AF45" s="34"/>
      <c r="AG45" s="34"/>
      <c r="AH45" s="33"/>
      <c r="AI45" s="34"/>
      <c r="AJ45" s="34"/>
      <c r="AK45" s="33"/>
    </row>
    <row r="46" spans="1:37">
      <c r="A46" s="210"/>
      <c r="B46" s="34"/>
      <c r="C46" s="34"/>
      <c r="D46" s="33">
        <f t="shared" si="22"/>
        <v>0</v>
      </c>
      <c r="E46" s="34"/>
      <c r="F46" s="34"/>
      <c r="G46" s="33">
        <f t="shared" ref="G46:G47" si="33">F46*$A$3</f>
        <v>0</v>
      </c>
      <c r="H46" s="34"/>
      <c r="I46" s="34"/>
      <c r="J46" s="33">
        <f t="shared" ref="J46:J47" si="34">I46*$A$3</f>
        <v>0</v>
      </c>
      <c r="K46" s="34"/>
      <c r="L46" s="34"/>
      <c r="M46" s="33">
        <f t="shared" ref="M46:M47" si="35">L46*$A$3</f>
        <v>0</v>
      </c>
      <c r="N46" s="34"/>
      <c r="O46" s="34"/>
      <c r="P46" s="33">
        <f t="shared" ref="P46:P47" si="36">O46*$A$3</f>
        <v>0</v>
      </c>
      <c r="Q46" s="34"/>
      <c r="R46" s="34"/>
      <c r="S46" s="33">
        <f t="shared" si="27"/>
        <v>0</v>
      </c>
      <c r="T46" s="34"/>
      <c r="U46" s="34"/>
      <c r="V46" s="33">
        <f t="shared" ref="V46:V47" si="37">U46*$A$3</f>
        <v>0</v>
      </c>
      <c r="W46" s="34"/>
      <c r="X46" s="34"/>
      <c r="Y46" s="33">
        <f t="shared" ref="Y46:Y47" si="38">X46*$A$3</f>
        <v>0</v>
      </c>
      <c r="Z46" s="34"/>
      <c r="AA46" s="34"/>
      <c r="AB46" s="33">
        <f t="shared" ref="AB46:AB47" si="39">AA46*$A$3</f>
        <v>0</v>
      </c>
      <c r="AC46" s="34"/>
      <c r="AD46" s="34"/>
      <c r="AE46" s="33">
        <f t="shared" ref="AE46:AE47" si="40">AD46*$A$3</f>
        <v>0</v>
      </c>
      <c r="AF46" s="34"/>
      <c r="AG46" s="34"/>
      <c r="AH46" s="33">
        <f t="shared" ref="AH46:AH47" si="41">AG46*$A$3</f>
        <v>0</v>
      </c>
      <c r="AI46" s="34"/>
      <c r="AJ46" s="34"/>
      <c r="AK46" s="33"/>
    </row>
    <row r="47" spans="1:37">
      <c r="A47" s="210"/>
      <c r="B47" s="36" t="s">
        <v>139</v>
      </c>
      <c r="C47" s="37">
        <f>SUM(C36:C46)</f>
        <v>178</v>
      </c>
      <c r="D47" s="38">
        <f t="shared" si="22"/>
        <v>890</v>
      </c>
      <c r="E47" s="36" t="s">
        <v>139</v>
      </c>
      <c r="F47" s="37">
        <f>SUM(F36:F46)</f>
        <v>178</v>
      </c>
      <c r="G47" s="38">
        <f t="shared" si="33"/>
        <v>890</v>
      </c>
      <c r="H47" s="36" t="s">
        <v>139</v>
      </c>
      <c r="I47" s="37">
        <f>SUM(I36:I46)</f>
        <v>168</v>
      </c>
      <c r="J47" s="38">
        <f t="shared" si="34"/>
        <v>840</v>
      </c>
      <c r="K47" s="36" t="s">
        <v>139</v>
      </c>
      <c r="L47" s="37">
        <f>SUM(L36:L46)</f>
        <v>184</v>
      </c>
      <c r="M47" s="38">
        <f t="shared" si="35"/>
        <v>920</v>
      </c>
      <c r="N47" s="36" t="s">
        <v>139</v>
      </c>
      <c r="O47" s="37">
        <f>SUM(O36:O46)</f>
        <v>160</v>
      </c>
      <c r="P47" s="38">
        <f t="shared" si="36"/>
        <v>800</v>
      </c>
      <c r="Q47" s="36" t="s">
        <v>139</v>
      </c>
      <c r="R47" s="37">
        <f>SUM(R36:R46)</f>
        <v>178</v>
      </c>
      <c r="S47" s="38">
        <f t="shared" si="27"/>
        <v>890</v>
      </c>
      <c r="T47" s="36" t="s">
        <v>139</v>
      </c>
      <c r="U47" s="37">
        <f>SUM(U36:U46)</f>
        <v>178</v>
      </c>
      <c r="V47" s="38">
        <f t="shared" si="37"/>
        <v>890</v>
      </c>
      <c r="W47" s="36" t="s">
        <v>139</v>
      </c>
      <c r="X47" s="37">
        <f>SUM(X36:X46)</f>
        <v>168</v>
      </c>
      <c r="Y47" s="38">
        <f t="shared" si="38"/>
        <v>840</v>
      </c>
      <c r="Z47" s="36" t="s">
        <v>139</v>
      </c>
      <c r="AA47" s="37">
        <f>SUM(AA36:AA46)</f>
        <v>184</v>
      </c>
      <c r="AB47" s="38">
        <f t="shared" si="39"/>
        <v>920</v>
      </c>
      <c r="AC47" s="36" t="s">
        <v>139</v>
      </c>
      <c r="AD47" s="37">
        <f>SUM(AD36:AD46)</f>
        <v>155</v>
      </c>
      <c r="AE47" s="38">
        <f t="shared" si="40"/>
        <v>775</v>
      </c>
      <c r="AF47" s="36" t="s">
        <v>139</v>
      </c>
      <c r="AG47" s="37">
        <f>SUM(AG36:AG46)</f>
        <v>0</v>
      </c>
      <c r="AH47" s="38">
        <f t="shared" si="41"/>
        <v>0</v>
      </c>
      <c r="AI47" s="36"/>
      <c r="AJ47" s="37"/>
      <c r="AK47" s="38"/>
    </row>
    <row r="48" spans="1:37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</row>
    <row r="49" spans="1:37">
      <c r="A49" s="41" t="s">
        <v>172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</row>
    <row r="50" spans="1:37">
      <c r="A50" s="41" t="s">
        <v>173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</row>
    <row r="51" spans="1:37">
      <c r="A51" s="41" t="s">
        <v>174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</row>
    <row r="52" spans="1:37">
      <c r="A52" s="41" t="s">
        <v>175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</row>
    <row r="53" spans="1:37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</row>
    <row r="54" spans="1:37">
      <c r="A54" s="26" t="s">
        <v>176</v>
      </c>
      <c r="B54" s="26"/>
      <c r="C54" s="42">
        <f t="shared" ref="C54:D54" si="42">C16+C31+C47</f>
        <v>488</v>
      </c>
      <c r="D54" s="42">
        <f t="shared" si="42"/>
        <v>2440</v>
      </c>
      <c r="E54" s="26"/>
      <c r="F54" s="42">
        <f t="shared" ref="F54:G54" si="43">F16+F31+F47</f>
        <v>491.4</v>
      </c>
      <c r="G54" s="42">
        <f t="shared" si="43"/>
        <v>2457</v>
      </c>
      <c r="H54" s="26"/>
      <c r="I54" s="42">
        <f t="shared" ref="I54:J54" si="44">I16+I31+I47</f>
        <v>454</v>
      </c>
      <c r="J54" s="42">
        <f t="shared" si="44"/>
        <v>2270</v>
      </c>
      <c r="K54" s="26"/>
      <c r="L54" s="42">
        <f t="shared" ref="L54:M54" si="45">L16+L31+L47</f>
        <v>501</v>
      </c>
      <c r="M54" s="42">
        <f t="shared" si="45"/>
        <v>2505</v>
      </c>
      <c r="N54" s="26"/>
      <c r="O54" s="42">
        <f t="shared" ref="O54:P54" si="46">O16+O31+O47</f>
        <v>437</v>
      </c>
      <c r="P54" s="42">
        <f t="shared" si="46"/>
        <v>2185</v>
      </c>
      <c r="Q54" s="26"/>
      <c r="R54" s="42">
        <f t="shared" ref="R54:S54" si="47">R16+R31+R47</f>
        <v>500</v>
      </c>
      <c r="S54" s="42">
        <f t="shared" si="47"/>
        <v>2500</v>
      </c>
      <c r="T54" s="26"/>
      <c r="U54" s="42">
        <f t="shared" ref="U54:V54" si="48">U16+U31+U47</f>
        <v>453</v>
      </c>
      <c r="V54" s="42">
        <f t="shared" si="48"/>
        <v>2265</v>
      </c>
      <c r="W54" s="26"/>
      <c r="X54" s="42">
        <f t="shared" ref="X54:Y54" si="49">X16+X31+X47</f>
        <v>416</v>
      </c>
      <c r="Y54" s="42">
        <f t="shared" si="49"/>
        <v>2080</v>
      </c>
      <c r="Z54" s="26"/>
      <c r="AA54" s="42">
        <f t="shared" ref="AA54:AB54" si="50">AA16+AA31+AA47</f>
        <v>450</v>
      </c>
      <c r="AB54" s="42">
        <f t="shared" si="50"/>
        <v>2250</v>
      </c>
      <c r="AC54" s="26"/>
      <c r="AD54" s="42">
        <f t="shared" ref="AD54:AE54" si="51">AD16+AD31+AD47</f>
        <v>397</v>
      </c>
      <c r="AE54" s="42">
        <f t="shared" si="51"/>
        <v>1985</v>
      </c>
      <c r="AF54" s="42"/>
      <c r="AG54" s="42"/>
      <c r="AH54" s="42"/>
      <c r="AI54" s="42"/>
      <c r="AJ54" s="42"/>
      <c r="AK54" s="42"/>
    </row>
    <row r="58" spans="1:37">
      <c r="A58" s="24" t="s">
        <v>177</v>
      </c>
    </row>
    <row r="62" spans="1:37">
      <c r="A62" s="24" t="s">
        <v>178</v>
      </c>
    </row>
    <row r="67" spans="1:4">
      <c r="A67" s="24" t="s">
        <v>179</v>
      </c>
      <c r="B67" s="24" t="s">
        <v>180</v>
      </c>
      <c r="C67" s="24" t="s">
        <v>181</v>
      </c>
      <c r="D67" s="24" t="s">
        <v>182</v>
      </c>
    </row>
    <row r="68" spans="1:4">
      <c r="A68" s="24" t="s">
        <v>183</v>
      </c>
    </row>
  </sheetData>
  <mergeCells count="51">
    <mergeCell ref="AC34:AE34"/>
    <mergeCell ref="AF34:AH34"/>
    <mergeCell ref="AI34:AK34"/>
    <mergeCell ref="H34:J34"/>
    <mergeCell ref="K34:M34"/>
    <mergeCell ref="N34:P34"/>
    <mergeCell ref="Q34:S34"/>
    <mergeCell ref="T34:V34"/>
    <mergeCell ref="W34:Y34"/>
    <mergeCell ref="Z34:AB34"/>
    <mergeCell ref="AC19:AE19"/>
    <mergeCell ref="AF19:AH19"/>
    <mergeCell ref="AI19:AK19"/>
    <mergeCell ref="E19:G19"/>
    <mergeCell ref="H19:J19"/>
    <mergeCell ref="K19:M19"/>
    <mergeCell ref="N19:P19"/>
    <mergeCell ref="Q19:S19"/>
    <mergeCell ref="T19:V19"/>
    <mergeCell ref="W19:Y19"/>
    <mergeCell ref="AC2:AE3"/>
    <mergeCell ref="AF2:AH3"/>
    <mergeCell ref="AI2:AK3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K2:M3"/>
    <mergeCell ref="N2:P3"/>
    <mergeCell ref="Q2:S3"/>
    <mergeCell ref="T2:V3"/>
    <mergeCell ref="A34:A47"/>
    <mergeCell ref="B34:D34"/>
    <mergeCell ref="E34:G34"/>
    <mergeCell ref="W2:Y3"/>
    <mergeCell ref="Z2:AB3"/>
    <mergeCell ref="E2:G3"/>
    <mergeCell ref="H2:J3"/>
    <mergeCell ref="A4:A16"/>
    <mergeCell ref="Z19:AB19"/>
    <mergeCell ref="E4:G4"/>
    <mergeCell ref="H4:J4"/>
    <mergeCell ref="B2:D3"/>
    <mergeCell ref="B4:D4"/>
    <mergeCell ref="A19:A31"/>
    <mergeCell ref="B19:D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0"/>
  <sheetViews>
    <sheetView workbookViewId="0"/>
  </sheetViews>
  <sheetFormatPr defaultColWidth="12.6640625" defaultRowHeight="15.75" customHeight="1"/>
  <cols>
    <col min="1" max="1" width="8.77734375" customWidth="1"/>
    <col min="2" max="2" width="25.77734375" customWidth="1"/>
    <col min="3" max="3" width="12.88671875" hidden="1" customWidth="1"/>
    <col min="4" max="4" width="29.88671875" customWidth="1"/>
    <col min="5" max="5" width="16.6640625" customWidth="1"/>
    <col min="6" max="6" width="14.109375" customWidth="1"/>
    <col min="7" max="26" width="12.6640625" hidden="1"/>
  </cols>
  <sheetData>
    <row r="1" spans="1:26">
      <c r="A1" s="211" t="s">
        <v>184</v>
      </c>
      <c r="B1" s="212"/>
      <c r="C1" s="212"/>
      <c r="D1" s="212"/>
      <c r="E1" s="212"/>
      <c r="F1" s="213"/>
    </row>
    <row r="2" spans="1:26">
      <c r="A2" s="43" t="s">
        <v>2</v>
      </c>
      <c r="B2" s="43" t="s">
        <v>185</v>
      </c>
      <c r="C2" s="43" t="s">
        <v>186</v>
      </c>
      <c r="D2" s="43" t="s">
        <v>187</v>
      </c>
      <c r="E2" s="44" t="s">
        <v>188</v>
      </c>
      <c r="F2" s="45" t="s">
        <v>189</v>
      </c>
    </row>
    <row r="3" spans="1:26">
      <c r="A3" s="46">
        <v>1</v>
      </c>
      <c r="B3" s="47" t="s">
        <v>190</v>
      </c>
      <c r="C3" s="48"/>
      <c r="D3" s="47" t="s">
        <v>191</v>
      </c>
      <c r="E3" s="49" t="s">
        <v>192</v>
      </c>
      <c r="F3" s="50" t="s">
        <v>193</v>
      </c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>
      <c r="A4" s="46">
        <v>2</v>
      </c>
      <c r="B4" s="47" t="s">
        <v>194</v>
      </c>
      <c r="C4" s="48"/>
      <c r="D4" s="47" t="s">
        <v>195</v>
      </c>
      <c r="E4" s="49" t="s">
        <v>196</v>
      </c>
      <c r="F4" s="50" t="s">
        <v>193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>
      <c r="A5" s="52">
        <v>3</v>
      </c>
      <c r="B5" s="53" t="s">
        <v>197</v>
      </c>
      <c r="C5" s="54"/>
      <c r="D5" s="55"/>
      <c r="E5" s="56" t="s">
        <v>198</v>
      </c>
      <c r="F5" s="57" t="s">
        <v>12</v>
      </c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>
      <c r="A6" s="46">
        <v>4</v>
      </c>
      <c r="B6" s="59" t="s">
        <v>199</v>
      </c>
      <c r="C6" s="48"/>
      <c r="D6" s="60"/>
      <c r="E6" s="49" t="s">
        <v>198</v>
      </c>
      <c r="F6" s="50" t="s">
        <v>193</v>
      </c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>
      <c r="A7" s="61">
        <v>5</v>
      </c>
      <c r="B7" s="62" t="s">
        <v>200</v>
      </c>
      <c r="C7" s="63"/>
      <c r="D7" s="62" t="s">
        <v>201</v>
      </c>
      <c r="E7" s="64" t="s">
        <v>202</v>
      </c>
      <c r="F7" s="65" t="s">
        <v>203</v>
      </c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>
      <c r="A8" s="46">
        <v>6</v>
      </c>
      <c r="B8" s="47" t="s">
        <v>204</v>
      </c>
      <c r="C8" s="48"/>
      <c r="D8" s="47" t="s">
        <v>205</v>
      </c>
      <c r="E8" s="49" t="s">
        <v>206</v>
      </c>
      <c r="F8" s="50" t="s">
        <v>193</v>
      </c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>
      <c r="A9" s="46">
        <v>7</v>
      </c>
      <c r="B9" s="47" t="s">
        <v>207</v>
      </c>
      <c r="C9" s="48"/>
      <c r="D9" s="47" t="s">
        <v>208</v>
      </c>
      <c r="E9" s="49" t="s">
        <v>196</v>
      </c>
      <c r="F9" s="50" t="s">
        <v>193</v>
      </c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>
      <c r="A10" s="46">
        <v>8</v>
      </c>
      <c r="B10" s="47" t="s">
        <v>209</v>
      </c>
      <c r="C10" s="48"/>
      <c r="D10" s="47" t="s">
        <v>210</v>
      </c>
      <c r="E10" s="49" t="s">
        <v>211</v>
      </c>
      <c r="F10" s="50" t="s">
        <v>193</v>
      </c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>
      <c r="A11" s="46">
        <v>9</v>
      </c>
      <c r="B11" s="47" t="s">
        <v>212</v>
      </c>
      <c r="C11" s="48"/>
      <c r="D11" s="60"/>
      <c r="E11" s="49" t="s">
        <v>213</v>
      </c>
      <c r="F11" s="50" t="s">
        <v>193</v>
      </c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>
      <c r="A12" s="46">
        <v>10</v>
      </c>
      <c r="B12" s="47" t="s">
        <v>214</v>
      </c>
      <c r="C12" s="48"/>
      <c r="D12" s="47" t="s">
        <v>215</v>
      </c>
      <c r="E12" s="49" t="s">
        <v>198</v>
      </c>
      <c r="F12" s="50" t="s">
        <v>193</v>
      </c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>
      <c r="A13" s="46">
        <v>11</v>
      </c>
      <c r="B13" s="47" t="s">
        <v>216</v>
      </c>
      <c r="C13" s="48"/>
      <c r="D13" s="47" t="s">
        <v>217</v>
      </c>
      <c r="E13" s="67" t="s">
        <v>218</v>
      </c>
      <c r="F13" s="50" t="s">
        <v>193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>
      <c r="A14" s="46">
        <v>12</v>
      </c>
      <c r="B14" s="47" t="s">
        <v>219</v>
      </c>
      <c r="C14" s="48"/>
      <c r="D14" s="60"/>
      <c r="E14" s="49" t="s">
        <v>220</v>
      </c>
      <c r="F14" s="50" t="s">
        <v>193</v>
      </c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>
      <c r="A15" s="46">
        <v>13</v>
      </c>
      <c r="B15" s="47" t="s">
        <v>221</v>
      </c>
      <c r="C15" s="48"/>
      <c r="D15" s="60"/>
      <c r="E15" s="49" t="s">
        <v>196</v>
      </c>
      <c r="F15" s="50" t="s">
        <v>193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>
      <c r="A16" s="61">
        <v>14</v>
      </c>
      <c r="B16" s="62" t="s">
        <v>222</v>
      </c>
      <c r="C16" s="63"/>
      <c r="D16" s="62" t="s">
        <v>201</v>
      </c>
      <c r="E16" s="64" t="s">
        <v>223</v>
      </c>
      <c r="F16" s="65" t="s">
        <v>203</v>
      </c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>
      <c r="A17" s="61">
        <v>15</v>
      </c>
      <c r="B17" s="62" t="s">
        <v>224</v>
      </c>
      <c r="C17" s="63"/>
      <c r="D17" s="69"/>
      <c r="E17" s="64" t="s">
        <v>211</v>
      </c>
      <c r="F17" s="65" t="s">
        <v>203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>
      <c r="A18" s="46">
        <v>16</v>
      </c>
      <c r="B18" s="47" t="s">
        <v>225</v>
      </c>
      <c r="C18" s="48"/>
      <c r="D18" s="60"/>
      <c r="E18" s="49" t="s">
        <v>198</v>
      </c>
      <c r="F18" s="50" t="s">
        <v>193</v>
      </c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>
      <c r="A19" s="46">
        <v>17</v>
      </c>
      <c r="B19" s="59" t="s">
        <v>226</v>
      </c>
      <c r="C19" s="48"/>
      <c r="D19" s="59"/>
      <c r="E19" s="70" t="s">
        <v>198</v>
      </c>
      <c r="F19" s="50" t="s">
        <v>193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>
      <c r="A20" s="46">
        <v>18</v>
      </c>
      <c r="B20" s="47" t="s">
        <v>227</v>
      </c>
      <c r="C20" s="48"/>
      <c r="D20" s="47" t="s">
        <v>228</v>
      </c>
      <c r="E20" s="49" t="s">
        <v>198</v>
      </c>
      <c r="F20" s="50" t="s">
        <v>193</v>
      </c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>
      <c r="A21" s="46">
        <v>19</v>
      </c>
      <c r="B21" s="47" t="s">
        <v>229</v>
      </c>
      <c r="C21" s="48"/>
      <c r="D21" s="47" t="s">
        <v>230</v>
      </c>
      <c r="E21" s="49" t="s">
        <v>231</v>
      </c>
      <c r="F21" s="50" t="s">
        <v>193</v>
      </c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>
      <c r="A22" s="46">
        <v>20</v>
      </c>
      <c r="B22" s="47" t="s">
        <v>232</v>
      </c>
      <c r="C22" s="48"/>
      <c r="D22" s="60"/>
      <c r="E22" s="49">
        <v>1</v>
      </c>
      <c r="F22" s="50" t="s">
        <v>193</v>
      </c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>
      <c r="A23" s="46">
        <v>21</v>
      </c>
      <c r="B23" s="47" t="s">
        <v>233</v>
      </c>
      <c r="C23" s="48"/>
      <c r="D23" s="47" t="s">
        <v>234</v>
      </c>
      <c r="E23" s="49" t="s">
        <v>211</v>
      </c>
      <c r="F23" s="50" t="s">
        <v>193</v>
      </c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>
      <c r="A24" s="46">
        <v>22</v>
      </c>
      <c r="B24" s="47" t="s">
        <v>235</v>
      </c>
      <c r="C24" s="48"/>
      <c r="D24" s="47" t="s">
        <v>236</v>
      </c>
      <c r="E24" s="49" t="s">
        <v>237</v>
      </c>
      <c r="F24" s="50" t="s">
        <v>193</v>
      </c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>
      <c r="A25" s="46">
        <v>23</v>
      </c>
      <c r="B25" s="59" t="s">
        <v>238</v>
      </c>
      <c r="C25" s="48"/>
      <c r="D25" s="59" t="s">
        <v>239</v>
      </c>
      <c r="E25" s="70" t="s">
        <v>198</v>
      </c>
      <c r="F25" s="50" t="s">
        <v>193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>
      <c r="A26" s="46">
        <v>24</v>
      </c>
      <c r="B26" s="47" t="s">
        <v>240</v>
      </c>
      <c r="C26" s="48"/>
      <c r="D26" s="47" t="s">
        <v>241</v>
      </c>
      <c r="E26" s="49" t="s">
        <v>242</v>
      </c>
      <c r="F26" s="50" t="s">
        <v>193</v>
      </c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>
      <c r="A27" s="71">
        <v>25</v>
      </c>
      <c r="B27" s="72" t="s">
        <v>243</v>
      </c>
      <c r="C27" s="73"/>
      <c r="D27" s="74" t="s">
        <v>244</v>
      </c>
      <c r="E27" s="75" t="s">
        <v>211</v>
      </c>
      <c r="F27" s="76" t="s">
        <v>12</v>
      </c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>
      <c r="A28" s="77">
        <v>26</v>
      </c>
      <c r="B28" s="47" t="s">
        <v>245</v>
      </c>
      <c r="C28" s="48"/>
      <c r="D28" s="59" t="s">
        <v>246</v>
      </c>
      <c r="E28" s="49" t="s">
        <v>198</v>
      </c>
      <c r="F28" s="50" t="s">
        <v>193</v>
      </c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>
      <c r="D29" s="23"/>
    </row>
    <row r="30" spans="1:26">
      <c r="D30" s="23" t="s">
        <v>247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7"/>
  <sheetViews>
    <sheetView workbookViewId="0"/>
  </sheetViews>
  <sheetFormatPr defaultColWidth="12.6640625" defaultRowHeight="15.75" customHeight="1"/>
  <cols>
    <col min="1" max="1" width="16.44140625" customWidth="1"/>
    <col min="2" max="2" width="22.77734375" customWidth="1"/>
    <col min="6" max="6" width="14.88671875" customWidth="1"/>
    <col min="7" max="7" width="16.21875" customWidth="1"/>
    <col min="8" max="8" width="12.6640625" hidden="1"/>
    <col min="9" max="9" width="17.33203125" hidden="1" customWidth="1"/>
  </cols>
  <sheetData>
    <row r="1" spans="1:13" ht="13.2">
      <c r="A1" s="78"/>
      <c r="B1" s="79" t="s">
        <v>248</v>
      </c>
      <c r="C1" s="79" t="s">
        <v>249</v>
      </c>
      <c r="D1" s="79" t="s">
        <v>250</v>
      </c>
      <c r="E1" s="79" t="s">
        <v>251</v>
      </c>
      <c r="F1" s="80" t="s">
        <v>252</v>
      </c>
      <c r="G1" s="81" t="s">
        <v>253</v>
      </c>
      <c r="H1" s="80" t="s">
        <v>254</v>
      </c>
      <c r="I1" s="80" t="s">
        <v>253</v>
      </c>
    </row>
    <row r="2" spans="1:13" ht="13.2">
      <c r="A2" s="214" t="s">
        <v>255</v>
      </c>
      <c r="B2" s="82" t="s">
        <v>256</v>
      </c>
      <c r="C2" s="83">
        <v>50</v>
      </c>
      <c r="D2" s="83">
        <v>1</v>
      </c>
      <c r="E2" s="83">
        <v>50</v>
      </c>
      <c r="F2" s="84" t="s">
        <v>19</v>
      </c>
      <c r="G2" s="85" t="s">
        <v>25</v>
      </c>
      <c r="H2" s="86"/>
      <c r="I2" s="86"/>
    </row>
    <row r="3" spans="1:13" ht="13.2">
      <c r="A3" s="199"/>
      <c r="B3" s="82" t="s">
        <v>257</v>
      </c>
      <c r="C3" s="83">
        <v>10</v>
      </c>
      <c r="D3" s="83">
        <v>1</v>
      </c>
      <c r="E3" s="83">
        <v>10</v>
      </c>
      <c r="F3" s="87" t="s">
        <v>29</v>
      </c>
      <c r="G3" s="87" t="s">
        <v>29</v>
      </c>
      <c r="H3" s="86"/>
      <c r="I3" s="86"/>
    </row>
    <row r="4" spans="1:13" ht="13.2">
      <c r="A4" s="199"/>
      <c r="B4" s="82" t="s">
        <v>258</v>
      </c>
      <c r="C4" s="83">
        <v>50</v>
      </c>
      <c r="D4" s="83">
        <v>1</v>
      </c>
      <c r="E4" s="83">
        <f t="shared" ref="E4:E5" si="0">C4*D4</f>
        <v>50</v>
      </c>
      <c r="F4" s="88" t="s">
        <v>12</v>
      </c>
      <c r="G4" s="88" t="s">
        <v>12</v>
      </c>
      <c r="H4" s="86"/>
      <c r="I4" s="86"/>
    </row>
    <row r="5" spans="1:13" ht="26.4">
      <c r="A5" s="199"/>
      <c r="B5" s="89" t="s">
        <v>259</v>
      </c>
      <c r="C5" s="83">
        <v>428</v>
      </c>
      <c r="D5" s="90">
        <v>1</v>
      </c>
      <c r="E5" s="91">
        <f t="shared" si="0"/>
        <v>428</v>
      </c>
      <c r="F5" s="88" t="s">
        <v>12</v>
      </c>
      <c r="G5" s="87" t="s">
        <v>29</v>
      </c>
      <c r="H5" s="86"/>
      <c r="I5" s="86"/>
    </row>
    <row r="6" spans="1:13" ht="13.2">
      <c r="A6" s="199"/>
      <c r="B6" s="89" t="s">
        <v>260</v>
      </c>
      <c r="C6" s="83">
        <v>645</v>
      </c>
      <c r="D6" s="83">
        <v>1</v>
      </c>
      <c r="E6" s="83">
        <v>645</v>
      </c>
      <c r="F6" s="84" t="s">
        <v>19</v>
      </c>
      <c r="G6" s="84" t="s">
        <v>19</v>
      </c>
      <c r="H6" s="86"/>
      <c r="I6" s="86"/>
      <c r="M6" s="92"/>
    </row>
    <row r="7" spans="1:13" ht="13.2">
      <c r="A7" s="199"/>
      <c r="B7" s="89" t="s">
        <v>260</v>
      </c>
      <c r="C7" s="83">
        <v>655</v>
      </c>
      <c r="D7" s="83">
        <v>1</v>
      </c>
      <c r="E7" s="83">
        <v>655</v>
      </c>
      <c r="F7" s="93" t="s">
        <v>34</v>
      </c>
      <c r="G7" s="93" t="s">
        <v>34</v>
      </c>
      <c r="H7" s="86"/>
      <c r="I7" s="86"/>
    </row>
    <row r="8" spans="1:13" ht="13.2">
      <c r="A8" s="199"/>
      <c r="B8" s="89" t="s">
        <v>261</v>
      </c>
      <c r="C8" s="83">
        <v>230</v>
      </c>
      <c r="D8" s="83">
        <v>1</v>
      </c>
      <c r="E8" s="86">
        <f t="shared" ref="E8:E16" si="1">C8*D8</f>
        <v>230</v>
      </c>
      <c r="F8" s="88" t="s">
        <v>12</v>
      </c>
      <c r="G8" s="87" t="s">
        <v>29</v>
      </c>
      <c r="H8" s="86"/>
      <c r="I8" s="86"/>
    </row>
    <row r="9" spans="1:13" ht="13.2">
      <c r="A9" s="199"/>
      <c r="B9" s="89" t="s">
        <v>262</v>
      </c>
      <c r="C9" s="83">
        <v>315</v>
      </c>
      <c r="D9" s="83">
        <v>1</v>
      </c>
      <c r="E9" s="86">
        <f t="shared" si="1"/>
        <v>315</v>
      </c>
      <c r="F9" s="88" t="s">
        <v>12</v>
      </c>
      <c r="G9" s="94" t="s">
        <v>19</v>
      </c>
      <c r="H9" s="86"/>
      <c r="I9" s="86"/>
    </row>
    <row r="10" spans="1:13" ht="13.2">
      <c r="A10" s="199"/>
      <c r="B10" s="89" t="s">
        <v>263</v>
      </c>
      <c r="C10" s="83">
        <v>690</v>
      </c>
      <c r="D10" s="83">
        <v>1</v>
      </c>
      <c r="E10" s="86">
        <f t="shared" si="1"/>
        <v>690</v>
      </c>
      <c r="F10" s="88" t="s">
        <v>12</v>
      </c>
      <c r="G10" s="88" t="s">
        <v>12</v>
      </c>
      <c r="H10" s="86"/>
      <c r="I10" s="86"/>
    </row>
    <row r="11" spans="1:13" ht="13.2">
      <c r="A11" s="199"/>
      <c r="B11" s="89" t="s">
        <v>263</v>
      </c>
      <c r="C11" s="83">
        <v>690</v>
      </c>
      <c r="D11" s="83">
        <v>1</v>
      </c>
      <c r="E11" s="86">
        <f t="shared" si="1"/>
        <v>690</v>
      </c>
      <c r="F11" s="88" t="s">
        <v>12</v>
      </c>
      <c r="G11" s="94" t="s">
        <v>19</v>
      </c>
      <c r="H11" s="86"/>
      <c r="I11" s="86"/>
    </row>
    <row r="12" spans="1:13" ht="13.2">
      <c r="A12" s="199"/>
      <c r="B12" s="89" t="s">
        <v>263</v>
      </c>
      <c r="C12" s="83">
        <v>690</v>
      </c>
      <c r="D12" s="83">
        <v>1</v>
      </c>
      <c r="E12" s="86">
        <f t="shared" si="1"/>
        <v>690</v>
      </c>
      <c r="F12" s="88" t="s">
        <v>12</v>
      </c>
      <c r="G12" s="93" t="s">
        <v>34</v>
      </c>
      <c r="H12" s="86"/>
      <c r="I12" s="86"/>
    </row>
    <row r="13" spans="1:13" ht="13.2">
      <c r="A13" s="199"/>
      <c r="B13" s="89" t="s">
        <v>263</v>
      </c>
      <c r="C13" s="83">
        <v>690</v>
      </c>
      <c r="D13" s="83">
        <v>1</v>
      </c>
      <c r="E13" s="86">
        <f t="shared" si="1"/>
        <v>690</v>
      </c>
      <c r="F13" s="88" t="s">
        <v>12</v>
      </c>
      <c r="G13" s="85" t="s">
        <v>25</v>
      </c>
      <c r="H13" s="86"/>
      <c r="I13" s="86"/>
    </row>
    <row r="14" spans="1:13" ht="13.2">
      <c r="A14" s="200"/>
      <c r="B14" s="89" t="s">
        <v>263</v>
      </c>
      <c r="C14" s="83">
        <v>690</v>
      </c>
      <c r="D14" s="83">
        <v>1</v>
      </c>
      <c r="E14" s="86">
        <f t="shared" si="1"/>
        <v>690</v>
      </c>
      <c r="F14" s="88" t="s">
        <v>12</v>
      </c>
      <c r="G14" s="87" t="s">
        <v>29</v>
      </c>
      <c r="H14" s="86"/>
      <c r="I14" s="86"/>
    </row>
    <row r="15" spans="1:13" ht="13.2">
      <c r="A15" s="215" t="s">
        <v>264</v>
      </c>
      <c r="B15" s="95" t="s">
        <v>265</v>
      </c>
      <c r="C15" s="83">
        <v>3529</v>
      </c>
      <c r="D15" s="83">
        <v>1</v>
      </c>
      <c r="E15" s="86">
        <f t="shared" si="1"/>
        <v>3529</v>
      </c>
      <c r="F15" s="88" t="s">
        <v>12</v>
      </c>
      <c r="G15" s="93" t="s">
        <v>34</v>
      </c>
      <c r="H15" s="86"/>
      <c r="I15" s="86"/>
    </row>
    <row r="16" spans="1:13" ht="13.2">
      <c r="A16" s="199"/>
      <c r="B16" s="96" t="s">
        <v>266</v>
      </c>
      <c r="C16" s="83">
        <v>282</v>
      </c>
      <c r="D16" s="83">
        <v>1</v>
      </c>
      <c r="E16" s="83">
        <f t="shared" si="1"/>
        <v>282</v>
      </c>
      <c r="F16" s="88" t="s">
        <v>12</v>
      </c>
      <c r="G16" s="93" t="s">
        <v>34</v>
      </c>
      <c r="H16" s="86"/>
      <c r="I16" s="86"/>
    </row>
    <row r="17" spans="1:10" ht="13.2">
      <c r="A17" s="199"/>
      <c r="B17" s="95" t="s">
        <v>267</v>
      </c>
      <c r="C17" s="83">
        <v>3100</v>
      </c>
      <c r="D17" s="83">
        <v>1</v>
      </c>
      <c r="E17" s="83">
        <v>3100</v>
      </c>
      <c r="F17" s="88" t="s">
        <v>12</v>
      </c>
      <c r="G17" s="88" t="s">
        <v>12</v>
      </c>
      <c r="H17" s="86"/>
      <c r="I17" s="86"/>
    </row>
    <row r="18" spans="1:10" ht="13.2">
      <c r="A18" s="200"/>
      <c r="B18" s="97" t="s">
        <v>268</v>
      </c>
      <c r="C18" s="83">
        <v>335</v>
      </c>
      <c r="D18" s="83">
        <v>1</v>
      </c>
      <c r="E18" s="86">
        <f>C18*D18</f>
        <v>335</v>
      </c>
      <c r="F18" s="88" t="s">
        <v>12</v>
      </c>
      <c r="G18" s="88" t="s">
        <v>12</v>
      </c>
      <c r="H18" s="86"/>
      <c r="I18" s="86"/>
    </row>
    <row r="19" spans="1:10" ht="13.2">
      <c r="A19" s="216" t="s">
        <v>269</v>
      </c>
      <c r="B19" s="82" t="s">
        <v>270</v>
      </c>
      <c r="C19" s="83">
        <v>35</v>
      </c>
      <c r="D19" s="83">
        <v>1</v>
      </c>
      <c r="E19" s="83">
        <v>35</v>
      </c>
      <c r="F19" s="93" t="s">
        <v>34</v>
      </c>
      <c r="G19" s="93" t="s">
        <v>34</v>
      </c>
      <c r="H19" s="86"/>
      <c r="I19" s="86"/>
    </row>
    <row r="20" spans="1:10" ht="32.25" customHeight="1">
      <c r="A20" s="199"/>
      <c r="B20" s="98" t="s">
        <v>271</v>
      </c>
      <c r="C20" s="90">
        <v>1000</v>
      </c>
      <c r="D20" s="90">
        <v>1</v>
      </c>
      <c r="E20" s="90">
        <v>1000</v>
      </c>
      <c r="F20" s="99" t="s">
        <v>34</v>
      </c>
      <c r="G20" s="99" t="s">
        <v>34</v>
      </c>
      <c r="H20" s="86"/>
      <c r="I20" s="86"/>
    </row>
    <row r="21" spans="1:10" ht="32.25" customHeight="1">
      <c r="A21" s="199"/>
      <c r="B21" s="98" t="s">
        <v>272</v>
      </c>
      <c r="C21" s="83">
        <v>1027</v>
      </c>
      <c r="D21" s="90">
        <v>1</v>
      </c>
      <c r="E21" s="83">
        <v>1027</v>
      </c>
      <c r="F21" s="94" t="s">
        <v>19</v>
      </c>
      <c r="G21" s="94" t="s">
        <v>19</v>
      </c>
      <c r="H21" s="86"/>
      <c r="I21" s="86"/>
      <c r="J21" s="24" t="s">
        <v>273</v>
      </c>
    </row>
    <row r="22" spans="1:10" ht="13.2">
      <c r="A22" s="199"/>
      <c r="B22" s="100" t="s">
        <v>274</v>
      </c>
      <c r="C22" s="83">
        <v>3300</v>
      </c>
      <c r="D22" s="83">
        <v>1</v>
      </c>
      <c r="E22" s="83">
        <v>3300</v>
      </c>
      <c r="F22" s="88" t="s">
        <v>12</v>
      </c>
      <c r="G22" s="88" t="s">
        <v>12</v>
      </c>
      <c r="H22" s="86"/>
      <c r="I22" s="86"/>
    </row>
    <row r="23" spans="1:10" ht="13.2">
      <c r="A23" s="200"/>
      <c r="B23" s="100" t="s">
        <v>275</v>
      </c>
      <c r="C23" s="83"/>
      <c r="D23" s="83">
        <v>1</v>
      </c>
      <c r="E23" s="86"/>
      <c r="F23" s="88" t="s">
        <v>12</v>
      </c>
      <c r="G23" s="88" t="s">
        <v>12</v>
      </c>
      <c r="H23" s="86"/>
      <c r="I23" s="86"/>
    </row>
    <row r="24" spans="1:10" ht="13.2">
      <c r="A24" s="101" t="s">
        <v>90</v>
      </c>
      <c r="B24" s="97" t="s">
        <v>276</v>
      </c>
      <c r="C24" s="86"/>
      <c r="D24" s="83">
        <v>1</v>
      </c>
      <c r="E24" s="86"/>
      <c r="F24" s="85" t="s">
        <v>25</v>
      </c>
      <c r="G24" s="85" t="s">
        <v>25</v>
      </c>
      <c r="H24" s="85" t="s">
        <v>25</v>
      </c>
      <c r="I24" s="85" t="s">
        <v>25</v>
      </c>
    </row>
    <row r="25" spans="1:10" ht="13.2">
      <c r="A25" s="102" t="s">
        <v>93</v>
      </c>
      <c r="B25" s="100" t="s">
        <v>93</v>
      </c>
      <c r="C25" s="86"/>
      <c r="D25" s="83">
        <v>1</v>
      </c>
      <c r="E25" s="86"/>
      <c r="F25" s="93" t="s">
        <v>34</v>
      </c>
      <c r="G25" s="93" t="s">
        <v>34</v>
      </c>
      <c r="H25" s="93" t="s">
        <v>34</v>
      </c>
      <c r="I25" s="93" t="s">
        <v>34</v>
      </c>
    </row>
    <row r="26" spans="1:10" ht="13.2">
      <c r="A26" s="101" t="s">
        <v>277</v>
      </c>
      <c r="B26" s="97" t="s">
        <v>278</v>
      </c>
      <c r="C26" s="83">
        <v>136</v>
      </c>
      <c r="D26" s="83">
        <v>10</v>
      </c>
      <c r="E26" s="83">
        <v>136</v>
      </c>
      <c r="F26" s="85" t="s">
        <v>25</v>
      </c>
      <c r="G26" s="85" t="s">
        <v>25</v>
      </c>
      <c r="H26" s="86"/>
      <c r="I26" s="85" t="s">
        <v>25</v>
      </c>
    </row>
    <row r="27" spans="1:10" ht="13.2">
      <c r="A27" s="214" t="s">
        <v>279</v>
      </c>
      <c r="B27" s="100" t="s">
        <v>280</v>
      </c>
      <c r="C27" s="83">
        <v>490</v>
      </c>
      <c r="D27" s="83">
        <v>1</v>
      </c>
      <c r="E27" s="83">
        <v>490</v>
      </c>
      <c r="F27" s="93" t="s">
        <v>34</v>
      </c>
      <c r="G27" s="93" t="s">
        <v>34</v>
      </c>
      <c r="H27" s="93" t="s">
        <v>34</v>
      </c>
      <c r="I27" s="93" t="s">
        <v>34</v>
      </c>
    </row>
    <row r="28" spans="1:10" ht="13.2">
      <c r="A28" s="200"/>
      <c r="B28" s="100" t="s">
        <v>280</v>
      </c>
      <c r="C28" s="83">
        <v>490</v>
      </c>
      <c r="D28" s="83">
        <v>1</v>
      </c>
      <c r="E28" s="83">
        <v>490</v>
      </c>
      <c r="F28" s="84" t="s">
        <v>19</v>
      </c>
      <c r="G28" s="84" t="s">
        <v>19</v>
      </c>
      <c r="H28" s="84" t="s">
        <v>19</v>
      </c>
      <c r="I28" s="84" t="s">
        <v>19</v>
      </c>
    </row>
    <row r="29" spans="1:10" ht="13.2">
      <c r="D29" s="103"/>
    </row>
    <row r="30" spans="1:10" ht="13.2">
      <c r="D30" s="103"/>
    </row>
    <row r="31" spans="1:10" ht="13.2">
      <c r="D31" s="103"/>
      <c r="E31" s="104" t="s">
        <v>281</v>
      </c>
    </row>
    <row r="32" spans="1:10" ht="13.2">
      <c r="C32" s="105" t="s">
        <v>11</v>
      </c>
      <c r="D32" s="105" t="s">
        <v>12</v>
      </c>
      <c r="E32" s="105"/>
    </row>
    <row r="33" spans="3:5" ht="13.2">
      <c r="C33" s="106" t="s">
        <v>18</v>
      </c>
      <c r="D33" s="106" t="s">
        <v>19</v>
      </c>
      <c r="E33" s="106"/>
    </row>
    <row r="34" spans="3:5" ht="13.2">
      <c r="C34" s="107" t="s">
        <v>24</v>
      </c>
      <c r="D34" s="107" t="s">
        <v>25</v>
      </c>
      <c r="E34" s="107"/>
    </row>
    <row r="35" spans="3:5" ht="13.2">
      <c r="C35" s="108" t="s">
        <v>28</v>
      </c>
      <c r="D35" s="108" t="s">
        <v>29</v>
      </c>
      <c r="E35" s="108"/>
    </row>
    <row r="36" spans="3:5" ht="13.2">
      <c r="C36" s="109" t="s">
        <v>33</v>
      </c>
      <c r="D36" s="109" t="s">
        <v>34</v>
      </c>
      <c r="E36" s="109"/>
    </row>
    <row r="37" spans="3:5" ht="13.2">
      <c r="D37" s="103"/>
    </row>
    <row r="38" spans="3:5" ht="13.2">
      <c r="D38" s="103"/>
    </row>
    <row r="39" spans="3:5" ht="13.2">
      <c r="D39" s="103"/>
    </row>
    <row r="40" spans="3:5" ht="13.2">
      <c r="D40" s="103"/>
    </row>
    <row r="41" spans="3:5" ht="13.2">
      <c r="D41" s="103"/>
    </row>
    <row r="42" spans="3:5" ht="13.2">
      <c r="D42" s="103"/>
    </row>
    <row r="43" spans="3:5" ht="13.2">
      <c r="D43" s="103"/>
    </row>
    <row r="44" spans="3:5" ht="13.2">
      <c r="D44" s="103"/>
    </row>
    <row r="45" spans="3:5" ht="13.2">
      <c r="D45" s="103"/>
    </row>
    <row r="46" spans="3:5" ht="13.2">
      <c r="D46" s="103"/>
    </row>
    <row r="47" spans="3:5" ht="13.2">
      <c r="D47" s="103"/>
    </row>
    <row r="48" spans="3:5" ht="13.2">
      <c r="D48" s="103"/>
    </row>
    <row r="49" spans="4:4" ht="13.2">
      <c r="D49" s="103"/>
    </row>
    <row r="50" spans="4:4" ht="13.2">
      <c r="D50" s="103"/>
    </row>
    <row r="51" spans="4:4" ht="13.2">
      <c r="D51" s="103"/>
    </row>
    <row r="52" spans="4:4" ht="13.2">
      <c r="D52" s="103"/>
    </row>
    <row r="53" spans="4:4" ht="13.2">
      <c r="D53" s="103"/>
    </row>
    <row r="54" spans="4:4" ht="13.2">
      <c r="D54" s="103"/>
    </row>
    <row r="55" spans="4:4" ht="13.2">
      <c r="D55" s="103"/>
    </row>
    <row r="56" spans="4:4" ht="13.2">
      <c r="D56" s="103"/>
    </row>
    <row r="57" spans="4:4" ht="13.2">
      <c r="D57" s="103"/>
    </row>
    <row r="58" spans="4:4" ht="13.2">
      <c r="D58" s="103"/>
    </row>
    <row r="59" spans="4:4" ht="13.2">
      <c r="D59" s="103"/>
    </row>
    <row r="60" spans="4:4" ht="13.2">
      <c r="D60" s="103"/>
    </row>
    <row r="61" spans="4:4" ht="13.2">
      <c r="D61" s="103"/>
    </row>
    <row r="62" spans="4:4" ht="13.2">
      <c r="D62" s="103"/>
    </row>
    <row r="63" spans="4:4" ht="13.2">
      <c r="D63" s="103"/>
    </row>
    <row r="64" spans="4:4" ht="13.2">
      <c r="D64" s="103"/>
    </row>
    <row r="65" spans="4:4" ht="13.2">
      <c r="D65" s="103"/>
    </row>
    <row r="66" spans="4:4" ht="13.2">
      <c r="D66" s="103"/>
    </row>
    <row r="67" spans="4:4" ht="13.2">
      <c r="D67" s="103"/>
    </row>
    <row r="68" spans="4:4" ht="13.2">
      <c r="D68" s="103"/>
    </row>
    <row r="69" spans="4:4" ht="13.2">
      <c r="D69" s="103"/>
    </row>
    <row r="70" spans="4:4" ht="13.2">
      <c r="D70" s="103"/>
    </row>
    <row r="71" spans="4:4" ht="13.2">
      <c r="D71" s="103"/>
    </row>
    <row r="72" spans="4:4" ht="13.2">
      <c r="D72" s="103"/>
    </row>
    <row r="73" spans="4:4" ht="13.2">
      <c r="D73" s="103"/>
    </row>
    <row r="74" spans="4:4" ht="13.2">
      <c r="D74" s="103"/>
    </row>
    <row r="75" spans="4:4" ht="13.2">
      <c r="D75" s="103"/>
    </row>
    <row r="76" spans="4:4" ht="13.2">
      <c r="D76" s="103"/>
    </row>
    <row r="77" spans="4:4" ht="13.2">
      <c r="D77" s="103"/>
    </row>
    <row r="78" spans="4:4" ht="13.2">
      <c r="D78" s="103"/>
    </row>
    <row r="79" spans="4:4" ht="13.2">
      <c r="D79" s="103"/>
    </row>
    <row r="80" spans="4:4" ht="13.2">
      <c r="D80" s="103"/>
    </row>
    <row r="81" spans="4:4" ht="13.2">
      <c r="D81" s="103"/>
    </row>
    <row r="82" spans="4:4" ht="13.2">
      <c r="D82" s="103"/>
    </row>
    <row r="83" spans="4:4" ht="13.2">
      <c r="D83" s="103"/>
    </row>
    <row r="84" spans="4:4" ht="13.2">
      <c r="D84" s="103"/>
    </row>
    <row r="85" spans="4:4" ht="13.2">
      <c r="D85" s="103"/>
    </row>
    <row r="86" spans="4:4" ht="13.2">
      <c r="D86" s="103"/>
    </row>
    <row r="87" spans="4:4" ht="13.2">
      <c r="D87" s="103"/>
    </row>
    <row r="88" spans="4:4" ht="13.2">
      <c r="D88" s="103"/>
    </row>
    <row r="89" spans="4:4" ht="13.2">
      <c r="D89" s="103"/>
    </row>
    <row r="90" spans="4:4" ht="13.2">
      <c r="D90" s="103"/>
    </row>
    <row r="91" spans="4:4" ht="13.2">
      <c r="D91" s="103"/>
    </row>
    <row r="92" spans="4:4" ht="13.2">
      <c r="D92" s="103"/>
    </row>
    <row r="93" spans="4:4" ht="13.2">
      <c r="D93" s="103"/>
    </row>
    <row r="94" spans="4:4" ht="13.2">
      <c r="D94" s="103"/>
    </row>
    <row r="95" spans="4:4" ht="13.2">
      <c r="D95" s="103"/>
    </row>
    <row r="96" spans="4:4" ht="13.2">
      <c r="D96" s="103"/>
    </row>
    <row r="97" spans="4:4" ht="13.2">
      <c r="D97" s="103"/>
    </row>
    <row r="98" spans="4:4" ht="13.2">
      <c r="D98" s="103"/>
    </row>
    <row r="99" spans="4:4" ht="13.2">
      <c r="D99" s="103"/>
    </row>
    <row r="100" spans="4:4" ht="13.2">
      <c r="D100" s="103"/>
    </row>
    <row r="101" spans="4:4" ht="13.2">
      <c r="D101" s="103"/>
    </row>
    <row r="102" spans="4:4" ht="13.2">
      <c r="D102" s="103"/>
    </row>
    <row r="103" spans="4:4" ht="13.2">
      <c r="D103" s="103"/>
    </row>
    <row r="104" spans="4:4" ht="13.2">
      <c r="D104" s="103"/>
    </row>
    <row r="105" spans="4:4" ht="13.2">
      <c r="D105" s="103"/>
    </row>
    <row r="106" spans="4:4" ht="13.2">
      <c r="D106" s="103"/>
    </row>
    <row r="107" spans="4:4" ht="13.2">
      <c r="D107" s="103"/>
    </row>
    <row r="108" spans="4:4" ht="13.2">
      <c r="D108" s="103"/>
    </row>
    <row r="109" spans="4:4" ht="13.2">
      <c r="D109" s="103"/>
    </row>
    <row r="110" spans="4:4" ht="13.2">
      <c r="D110" s="103"/>
    </row>
    <row r="111" spans="4:4" ht="13.2">
      <c r="D111" s="103"/>
    </row>
    <row r="112" spans="4:4" ht="13.2">
      <c r="D112" s="103"/>
    </row>
    <row r="113" spans="4:4" ht="13.2">
      <c r="D113" s="103"/>
    </row>
    <row r="114" spans="4:4" ht="13.2">
      <c r="D114" s="103"/>
    </row>
    <row r="115" spans="4:4" ht="13.2">
      <c r="D115" s="103"/>
    </row>
    <row r="116" spans="4:4" ht="13.2">
      <c r="D116" s="103"/>
    </row>
    <row r="117" spans="4:4" ht="13.2">
      <c r="D117" s="103"/>
    </row>
    <row r="118" spans="4:4" ht="13.2">
      <c r="D118" s="103"/>
    </row>
    <row r="119" spans="4:4" ht="13.2">
      <c r="D119" s="103"/>
    </row>
    <row r="120" spans="4:4" ht="13.2">
      <c r="D120" s="103"/>
    </row>
    <row r="121" spans="4:4" ht="13.2">
      <c r="D121" s="103"/>
    </row>
    <row r="122" spans="4:4" ht="13.2">
      <c r="D122" s="103"/>
    </row>
    <row r="123" spans="4:4" ht="13.2">
      <c r="D123" s="103"/>
    </row>
    <row r="124" spans="4:4" ht="13.2">
      <c r="D124" s="103"/>
    </row>
    <row r="125" spans="4:4" ht="13.2">
      <c r="D125" s="103"/>
    </row>
    <row r="126" spans="4:4" ht="13.2">
      <c r="D126" s="103"/>
    </row>
    <row r="127" spans="4:4" ht="13.2">
      <c r="D127" s="103"/>
    </row>
    <row r="128" spans="4:4" ht="13.2">
      <c r="D128" s="103"/>
    </row>
    <row r="129" spans="4:4" ht="13.2">
      <c r="D129" s="103"/>
    </row>
    <row r="130" spans="4:4" ht="13.2">
      <c r="D130" s="103"/>
    </row>
    <row r="131" spans="4:4" ht="13.2">
      <c r="D131" s="103"/>
    </row>
    <row r="132" spans="4:4" ht="13.2">
      <c r="D132" s="103"/>
    </row>
    <row r="133" spans="4:4" ht="13.2">
      <c r="D133" s="103"/>
    </row>
    <row r="134" spans="4:4" ht="13.2">
      <c r="D134" s="103"/>
    </row>
    <row r="135" spans="4:4" ht="13.2">
      <c r="D135" s="103"/>
    </row>
    <row r="136" spans="4:4" ht="13.2">
      <c r="D136" s="103"/>
    </row>
    <row r="137" spans="4:4" ht="13.2">
      <c r="D137" s="103"/>
    </row>
    <row r="138" spans="4:4" ht="13.2">
      <c r="D138" s="103"/>
    </row>
    <row r="139" spans="4:4" ht="13.2">
      <c r="D139" s="103"/>
    </row>
    <row r="140" spans="4:4" ht="13.2">
      <c r="D140" s="103"/>
    </row>
    <row r="141" spans="4:4" ht="13.2">
      <c r="D141" s="103"/>
    </row>
    <row r="142" spans="4:4" ht="13.2">
      <c r="D142" s="103"/>
    </row>
    <row r="143" spans="4:4" ht="13.2">
      <c r="D143" s="103"/>
    </row>
    <row r="144" spans="4:4" ht="13.2">
      <c r="D144" s="103"/>
    </row>
    <row r="145" spans="4:4" ht="13.2">
      <c r="D145" s="103"/>
    </row>
    <row r="146" spans="4:4" ht="13.2">
      <c r="D146" s="103"/>
    </row>
    <row r="147" spans="4:4" ht="13.2">
      <c r="D147" s="103"/>
    </row>
    <row r="148" spans="4:4" ht="13.2">
      <c r="D148" s="103"/>
    </row>
    <row r="149" spans="4:4" ht="13.2">
      <c r="D149" s="103"/>
    </row>
    <row r="150" spans="4:4" ht="13.2">
      <c r="D150" s="103"/>
    </row>
    <row r="151" spans="4:4" ht="13.2">
      <c r="D151" s="103"/>
    </row>
    <row r="152" spans="4:4" ht="13.2">
      <c r="D152" s="103"/>
    </row>
    <row r="153" spans="4:4" ht="13.2">
      <c r="D153" s="103"/>
    </row>
    <row r="154" spans="4:4" ht="13.2">
      <c r="D154" s="103"/>
    </row>
    <row r="155" spans="4:4" ht="13.2">
      <c r="D155" s="103"/>
    </row>
    <row r="156" spans="4:4" ht="13.2">
      <c r="D156" s="103"/>
    </row>
    <row r="157" spans="4:4" ht="13.2">
      <c r="D157" s="103"/>
    </row>
    <row r="158" spans="4:4" ht="13.2">
      <c r="D158" s="103"/>
    </row>
    <row r="159" spans="4:4" ht="13.2">
      <c r="D159" s="103"/>
    </row>
    <row r="160" spans="4:4" ht="13.2">
      <c r="D160" s="103"/>
    </row>
    <row r="161" spans="4:4" ht="13.2">
      <c r="D161" s="103"/>
    </row>
    <row r="162" spans="4:4" ht="13.2">
      <c r="D162" s="103"/>
    </row>
    <row r="163" spans="4:4" ht="13.2">
      <c r="D163" s="103"/>
    </row>
    <row r="164" spans="4:4" ht="13.2">
      <c r="D164" s="103"/>
    </row>
    <row r="165" spans="4:4" ht="13.2">
      <c r="D165" s="103"/>
    </row>
    <row r="166" spans="4:4" ht="13.2">
      <c r="D166" s="103"/>
    </row>
    <row r="167" spans="4:4" ht="13.2">
      <c r="D167" s="103"/>
    </row>
    <row r="168" spans="4:4" ht="13.2">
      <c r="D168" s="103"/>
    </row>
    <row r="169" spans="4:4" ht="13.2">
      <c r="D169" s="103"/>
    </row>
    <row r="170" spans="4:4" ht="13.2">
      <c r="D170" s="103"/>
    </row>
    <row r="171" spans="4:4" ht="13.2">
      <c r="D171" s="103"/>
    </row>
    <row r="172" spans="4:4" ht="13.2">
      <c r="D172" s="103"/>
    </row>
    <row r="173" spans="4:4" ht="13.2">
      <c r="D173" s="103"/>
    </row>
    <row r="174" spans="4:4" ht="13.2">
      <c r="D174" s="103"/>
    </row>
    <row r="175" spans="4:4" ht="13.2">
      <c r="D175" s="103"/>
    </row>
    <row r="176" spans="4:4" ht="13.2">
      <c r="D176" s="103"/>
    </row>
    <row r="177" spans="4:4" ht="13.2">
      <c r="D177" s="103"/>
    </row>
    <row r="178" spans="4:4" ht="13.2">
      <c r="D178" s="103"/>
    </row>
    <row r="179" spans="4:4" ht="13.2">
      <c r="D179" s="103"/>
    </row>
    <row r="180" spans="4:4" ht="13.2">
      <c r="D180" s="103"/>
    </row>
    <row r="181" spans="4:4" ht="13.2">
      <c r="D181" s="103"/>
    </row>
    <row r="182" spans="4:4" ht="13.2">
      <c r="D182" s="103"/>
    </row>
    <row r="183" spans="4:4" ht="13.2">
      <c r="D183" s="103"/>
    </row>
    <row r="184" spans="4:4" ht="13.2">
      <c r="D184" s="103"/>
    </row>
    <row r="185" spans="4:4" ht="13.2">
      <c r="D185" s="103"/>
    </row>
    <row r="186" spans="4:4" ht="13.2">
      <c r="D186" s="103"/>
    </row>
    <row r="187" spans="4:4" ht="13.2">
      <c r="D187" s="103"/>
    </row>
    <row r="188" spans="4:4" ht="13.2">
      <c r="D188" s="103"/>
    </row>
    <row r="189" spans="4:4" ht="13.2">
      <c r="D189" s="103"/>
    </row>
    <row r="190" spans="4:4" ht="13.2">
      <c r="D190" s="103"/>
    </row>
    <row r="191" spans="4:4" ht="13.2">
      <c r="D191" s="103"/>
    </row>
    <row r="192" spans="4:4" ht="13.2">
      <c r="D192" s="103"/>
    </row>
    <row r="193" spans="4:4" ht="13.2">
      <c r="D193" s="103"/>
    </row>
    <row r="194" spans="4:4" ht="13.2">
      <c r="D194" s="103"/>
    </row>
    <row r="195" spans="4:4" ht="13.2">
      <c r="D195" s="103"/>
    </row>
    <row r="196" spans="4:4" ht="13.2">
      <c r="D196" s="103"/>
    </row>
    <row r="197" spans="4:4" ht="13.2">
      <c r="D197" s="103"/>
    </row>
    <row r="198" spans="4:4" ht="13.2">
      <c r="D198" s="103"/>
    </row>
    <row r="199" spans="4:4" ht="13.2">
      <c r="D199" s="103"/>
    </row>
    <row r="200" spans="4:4" ht="13.2">
      <c r="D200" s="103"/>
    </row>
    <row r="201" spans="4:4" ht="13.2">
      <c r="D201" s="103"/>
    </row>
    <row r="202" spans="4:4" ht="13.2">
      <c r="D202" s="103"/>
    </row>
    <row r="203" spans="4:4" ht="13.2">
      <c r="D203" s="103"/>
    </row>
    <row r="204" spans="4:4" ht="13.2">
      <c r="D204" s="103"/>
    </row>
    <row r="205" spans="4:4" ht="13.2">
      <c r="D205" s="103"/>
    </row>
    <row r="206" spans="4:4" ht="13.2">
      <c r="D206" s="103"/>
    </row>
    <row r="207" spans="4:4" ht="13.2">
      <c r="D207" s="103"/>
    </row>
    <row r="208" spans="4:4" ht="13.2">
      <c r="D208" s="103"/>
    </row>
    <row r="209" spans="4:4" ht="13.2">
      <c r="D209" s="103"/>
    </row>
    <row r="210" spans="4:4" ht="13.2">
      <c r="D210" s="103"/>
    </row>
    <row r="211" spans="4:4" ht="13.2">
      <c r="D211" s="103"/>
    </row>
    <row r="212" spans="4:4" ht="13.2">
      <c r="D212" s="103"/>
    </row>
    <row r="213" spans="4:4" ht="13.2">
      <c r="D213" s="103"/>
    </row>
    <row r="214" spans="4:4" ht="13.2">
      <c r="D214" s="103"/>
    </row>
    <row r="215" spans="4:4" ht="13.2">
      <c r="D215" s="103"/>
    </row>
    <row r="216" spans="4:4" ht="13.2">
      <c r="D216" s="103"/>
    </row>
    <row r="217" spans="4:4" ht="13.2">
      <c r="D217" s="103"/>
    </row>
    <row r="218" spans="4:4" ht="13.2">
      <c r="D218" s="103"/>
    </row>
    <row r="219" spans="4:4" ht="13.2">
      <c r="D219" s="103"/>
    </row>
    <row r="220" spans="4:4" ht="13.2">
      <c r="D220" s="103"/>
    </row>
    <row r="221" spans="4:4" ht="13.2">
      <c r="D221" s="103"/>
    </row>
    <row r="222" spans="4:4" ht="13.2">
      <c r="D222" s="103"/>
    </row>
    <row r="223" spans="4:4" ht="13.2">
      <c r="D223" s="103"/>
    </row>
    <row r="224" spans="4:4" ht="13.2">
      <c r="D224" s="103"/>
    </row>
    <row r="225" spans="4:4" ht="13.2">
      <c r="D225" s="103"/>
    </row>
    <row r="226" spans="4:4" ht="13.2">
      <c r="D226" s="103"/>
    </row>
    <row r="227" spans="4:4" ht="13.2">
      <c r="D227" s="103"/>
    </row>
    <row r="228" spans="4:4" ht="13.2">
      <c r="D228" s="103"/>
    </row>
    <row r="229" spans="4:4" ht="13.2">
      <c r="D229" s="103"/>
    </row>
    <row r="230" spans="4:4" ht="13.2">
      <c r="D230" s="103"/>
    </row>
    <row r="231" spans="4:4" ht="13.2">
      <c r="D231" s="103"/>
    </row>
    <row r="232" spans="4:4" ht="13.2">
      <c r="D232" s="103"/>
    </row>
    <row r="233" spans="4:4" ht="13.2">
      <c r="D233" s="103"/>
    </row>
    <row r="234" spans="4:4" ht="13.2">
      <c r="D234" s="103"/>
    </row>
    <row r="235" spans="4:4" ht="13.2">
      <c r="D235" s="103"/>
    </row>
    <row r="236" spans="4:4" ht="13.2">
      <c r="D236" s="103"/>
    </row>
    <row r="237" spans="4:4" ht="13.2">
      <c r="D237" s="103"/>
    </row>
    <row r="238" spans="4:4" ht="13.2">
      <c r="D238" s="103"/>
    </row>
    <row r="239" spans="4:4" ht="13.2">
      <c r="D239" s="103"/>
    </row>
    <row r="240" spans="4:4" ht="13.2">
      <c r="D240" s="103"/>
    </row>
    <row r="241" spans="4:4" ht="13.2">
      <c r="D241" s="103"/>
    </row>
    <row r="242" spans="4:4" ht="13.2">
      <c r="D242" s="103"/>
    </row>
    <row r="243" spans="4:4" ht="13.2">
      <c r="D243" s="103"/>
    </row>
    <row r="244" spans="4:4" ht="13.2">
      <c r="D244" s="103"/>
    </row>
    <row r="245" spans="4:4" ht="13.2">
      <c r="D245" s="103"/>
    </row>
    <row r="246" spans="4:4" ht="13.2">
      <c r="D246" s="103"/>
    </row>
    <row r="247" spans="4:4" ht="13.2">
      <c r="D247" s="103"/>
    </row>
    <row r="248" spans="4:4" ht="13.2">
      <c r="D248" s="103"/>
    </row>
    <row r="249" spans="4:4" ht="13.2">
      <c r="D249" s="103"/>
    </row>
    <row r="250" spans="4:4" ht="13.2">
      <c r="D250" s="103"/>
    </row>
    <row r="251" spans="4:4" ht="13.2">
      <c r="D251" s="103"/>
    </row>
    <row r="252" spans="4:4" ht="13.2">
      <c r="D252" s="103"/>
    </row>
    <row r="253" spans="4:4" ht="13.2">
      <c r="D253" s="103"/>
    </row>
    <row r="254" spans="4:4" ht="13.2">
      <c r="D254" s="103"/>
    </row>
    <row r="255" spans="4:4" ht="13.2">
      <c r="D255" s="103"/>
    </row>
    <row r="256" spans="4:4" ht="13.2">
      <c r="D256" s="103"/>
    </row>
    <row r="257" spans="4:4" ht="13.2">
      <c r="D257" s="103"/>
    </row>
    <row r="258" spans="4:4" ht="13.2">
      <c r="D258" s="103"/>
    </row>
    <row r="259" spans="4:4" ht="13.2">
      <c r="D259" s="103"/>
    </row>
    <row r="260" spans="4:4" ht="13.2">
      <c r="D260" s="103"/>
    </row>
    <row r="261" spans="4:4" ht="13.2">
      <c r="D261" s="103"/>
    </row>
    <row r="262" spans="4:4" ht="13.2">
      <c r="D262" s="103"/>
    </row>
    <row r="263" spans="4:4" ht="13.2">
      <c r="D263" s="103"/>
    </row>
    <row r="264" spans="4:4" ht="13.2">
      <c r="D264" s="103"/>
    </row>
    <row r="265" spans="4:4" ht="13.2">
      <c r="D265" s="103"/>
    </row>
    <row r="266" spans="4:4" ht="13.2">
      <c r="D266" s="103"/>
    </row>
    <row r="267" spans="4:4" ht="13.2">
      <c r="D267" s="103"/>
    </row>
    <row r="268" spans="4:4" ht="13.2">
      <c r="D268" s="103"/>
    </row>
    <row r="269" spans="4:4" ht="13.2">
      <c r="D269" s="103"/>
    </row>
    <row r="270" spans="4:4" ht="13.2">
      <c r="D270" s="103"/>
    </row>
    <row r="271" spans="4:4" ht="13.2">
      <c r="D271" s="103"/>
    </row>
    <row r="272" spans="4:4" ht="13.2">
      <c r="D272" s="103"/>
    </row>
    <row r="273" spans="4:4" ht="13.2">
      <c r="D273" s="103"/>
    </row>
    <row r="274" spans="4:4" ht="13.2">
      <c r="D274" s="103"/>
    </row>
    <row r="275" spans="4:4" ht="13.2">
      <c r="D275" s="103"/>
    </row>
    <row r="276" spans="4:4" ht="13.2">
      <c r="D276" s="103"/>
    </row>
    <row r="277" spans="4:4" ht="13.2">
      <c r="D277" s="103"/>
    </row>
    <row r="278" spans="4:4" ht="13.2">
      <c r="D278" s="103"/>
    </row>
    <row r="279" spans="4:4" ht="13.2">
      <c r="D279" s="103"/>
    </row>
    <row r="280" spans="4:4" ht="13.2">
      <c r="D280" s="103"/>
    </row>
    <row r="281" spans="4:4" ht="13.2">
      <c r="D281" s="103"/>
    </row>
    <row r="282" spans="4:4" ht="13.2">
      <c r="D282" s="103"/>
    </row>
    <row r="283" spans="4:4" ht="13.2">
      <c r="D283" s="103"/>
    </row>
    <row r="284" spans="4:4" ht="13.2">
      <c r="D284" s="103"/>
    </row>
    <row r="285" spans="4:4" ht="13.2">
      <c r="D285" s="103"/>
    </row>
    <row r="286" spans="4:4" ht="13.2">
      <c r="D286" s="103"/>
    </row>
    <row r="287" spans="4:4" ht="13.2">
      <c r="D287" s="103"/>
    </row>
    <row r="288" spans="4:4" ht="13.2">
      <c r="D288" s="103"/>
    </row>
    <row r="289" spans="4:4" ht="13.2">
      <c r="D289" s="103"/>
    </row>
    <row r="290" spans="4:4" ht="13.2">
      <c r="D290" s="103"/>
    </row>
    <row r="291" spans="4:4" ht="13.2">
      <c r="D291" s="103"/>
    </row>
    <row r="292" spans="4:4" ht="13.2">
      <c r="D292" s="103"/>
    </row>
    <row r="293" spans="4:4" ht="13.2">
      <c r="D293" s="103"/>
    </row>
    <row r="294" spans="4:4" ht="13.2">
      <c r="D294" s="103"/>
    </row>
    <row r="295" spans="4:4" ht="13.2">
      <c r="D295" s="103"/>
    </row>
    <row r="296" spans="4:4" ht="13.2">
      <c r="D296" s="103"/>
    </row>
    <row r="297" spans="4:4" ht="13.2">
      <c r="D297" s="103"/>
    </row>
    <row r="298" spans="4:4" ht="13.2">
      <c r="D298" s="103"/>
    </row>
    <row r="299" spans="4:4" ht="13.2">
      <c r="D299" s="103"/>
    </row>
    <row r="300" spans="4:4" ht="13.2">
      <c r="D300" s="103"/>
    </row>
    <row r="301" spans="4:4" ht="13.2">
      <c r="D301" s="103"/>
    </row>
    <row r="302" spans="4:4" ht="13.2">
      <c r="D302" s="103"/>
    </row>
    <row r="303" spans="4:4" ht="13.2">
      <c r="D303" s="103"/>
    </row>
    <row r="304" spans="4:4" ht="13.2">
      <c r="D304" s="103"/>
    </row>
    <row r="305" spans="4:4" ht="13.2">
      <c r="D305" s="103"/>
    </row>
    <row r="306" spans="4:4" ht="13.2">
      <c r="D306" s="103"/>
    </row>
    <row r="307" spans="4:4" ht="13.2">
      <c r="D307" s="103"/>
    </row>
    <row r="308" spans="4:4" ht="13.2">
      <c r="D308" s="103"/>
    </row>
    <row r="309" spans="4:4" ht="13.2">
      <c r="D309" s="103"/>
    </row>
    <row r="310" spans="4:4" ht="13.2">
      <c r="D310" s="103"/>
    </row>
    <row r="311" spans="4:4" ht="13.2">
      <c r="D311" s="103"/>
    </row>
    <row r="312" spans="4:4" ht="13.2">
      <c r="D312" s="103"/>
    </row>
    <row r="313" spans="4:4" ht="13.2">
      <c r="D313" s="103"/>
    </row>
    <row r="314" spans="4:4" ht="13.2">
      <c r="D314" s="103"/>
    </row>
    <row r="315" spans="4:4" ht="13.2">
      <c r="D315" s="103"/>
    </row>
    <row r="316" spans="4:4" ht="13.2">
      <c r="D316" s="103"/>
    </row>
    <row r="317" spans="4:4" ht="13.2">
      <c r="D317" s="103"/>
    </row>
    <row r="318" spans="4:4" ht="13.2">
      <c r="D318" s="103"/>
    </row>
    <row r="319" spans="4:4" ht="13.2">
      <c r="D319" s="103"/>
    </row>
    <row r="320" spans="4:4" ht="13.2">
      <c r="D320" s="103"/>
    </row>
    <row r="321" spans="4:4" ht="13.2">
      <c r="D321" s="103"/>
    </row>
    <row r="322" spans="4:4" ht="13.2">
      <c r="D322" s="103"/>
    </row>
    <row r="323" spans="4:4" ht="13.2">
      <c r="D323" s="103"/>
    </row>
    <row r="324" spans="4:4" ht="13.2">
      <c r="D324" s="103"/>
    </row>
    <row r="325" spans="4:4" ht="13.2">
      <c r="D325" s="103"/>
    </row>
    <row r="326" spans="4:4" ht="13.2">
      <c r="D326" s="103"/>
    </row>
    <row r="327" spans="4:4" ht="13.2">
      <c r="D327" s="103"/>
    </row>
    <row r="328" spans="4:4" ht="13.2">
      <c r="D328" s="103"/>
    </row>
    <row r="329" spans="4:4" ht="13.2">
      <c r="D329" s="103"/>
    </row>
    <row r="330" spans="4:4" ht="13.2">
      <c r="D330" s="103"/>
    </row>
    <row r="331" spans="4:4" ht="13.2">
      <c r="D331" s="103"/>
    </row>
    <row r="332" spans="4:4" ht="13.2">
      <c r="D332" s="103"/>
    </row>
    <row r="333" spans="4:4" ht="13.2">
      <c r="D333" s="103"/>
    </row>
    <row r="334" spans="4:4" ht="13.2">
      <c r="D334" s="103"/>
    </row>
    <row r="335" spans="4:4" ht="13.2">
      <c r="D335" s="103"/>
    </row>
    <row r="336" spans="4:4" ht="13.2">
      <c r="D336" s="103"/>
    </row>
    <row r="337" spans="4:4" ht="13.2">
      <c r="D337" s="103"/>
    </row>
    <row r="338" spans="4:4" ht="13.2">
      <c r="D338" s="103"/>
    </row>
    <row r="339" spans="4:4" ht="13.2">
      <c r="D339" s="103"/>
    </row>
    <row r="340" spans="4:4" ht="13.2">
      <c r="D340" s="103"/>
    </row>
    <row r="341" spans="4:4" ht="13.2">
      <c r="D341" s="103"/>
    </row>
    <row r="342" spans="4:4" ht="13.2">
      <c r="D342" s="103"/>
    </row>
    <row r="343" spans="4:4" ht="13.2">
      <c r="D343" s="103"/>
    </row>
    <row r="344" spans="4:4" ht="13.2">
      <c r="D344" s="103"/>
    </row>
    <row r="345" spans="4:4" ht="13.2">
      <c r="D345" s="103"/>
    </row>
    <row r="346" spans="4:4" ht="13.2">
      <c r="D346" s="103"/>
    </row>
    <row r="347" spans="4:4" ht="13.2">
      <c r="D347" s="103"/>
    </row>
    <row r="348" spans="4:4" ht="13.2">
      <c r="D348" s="103"/>
    </row>
    <row r="349" spans="4:4" ht="13.2">
      <c r="D349" s="103"/>
    </row>
    <row r="350" spans="4:4" ht="13.2">
      <c r="D350" s="103"/>
    </row>
    <row r="351" spans="4:4" ht="13.2">
      <c r="D351" s="103"/>
    </row>
    <row r="352" spans="4:4" ht="13.2">
      <c r="D352" s="103"/>
    </row>
    <row r="353" spans="4:4" ht="13.2">
      <c r="D353" s="103"/>
    </row>
    <row r="354" spans="4:4" ht="13.2">
      <c r="D354" s="103"/>
    </row>
    <row r="355" spans="4:4" ht="13.2">
      <c r="D355" s="103"/>
    </row>
    <row r="356" spans="4:4" ht="13.2">
      <c r="D356" s="103"/>
    </row>
    <row r="357" spans="4:4" ht="13.2">
      <c r="D357" s="103"/>
    </row>
    <row r="358" spans="4:4" ht="13.2">
      <c r="D358" s="103"/>
    </row>
    <row r="359" spans="4:4" ht="13.2">
      <c r="D359" s="103"/>
    </row>
    <row r="360" spans="4:4" ht="13.2">
      <c r="D360" s="103"/>
    </row>
    <row r="361" spans="4:4" ht="13.2">
      <c r="D361" s="103"/>
    </row>
    <row r="362" spans="4:4" ht="13.2">
      <c r="D362" s="103"/>
    </row>
    <row r="363" spans="4:4" ht="13.2">
      <c r="D363" s="103"/>
    </row>
    <row r="364" spans="4:4" ht="13.2">
      <c r="D364" s="103"/>
    </row>
    <row r="365" spans="4:4" ht="13.2">
      <c r="D365" s="103"/>
    </row>
    <row r="366" spans="4:4" ht="13.2">
      <c r="D366" s="103"/>
    </row>
    <row r="367" spans="4:4" ht="13.2">
      <c r="D367" s="103"/>
    </row>
    <row r="368" spans="4:4" ht="13.2">
      <c r="D368" s="103"/>
    </row>
    <row r="369" spans="4:4" ht="13.2">
      <c r="D369" s="103"/>
    </row>
    <row r="370" spans="4:4" ht="13.2">
      <c r="D370" s="103"/>
    </row>
    <row r="371" spans="4:4" ht="13.2">
      <c r="D371" s="103"/>
    </row>
    <row r="372" spans="4:4" ht="13.2">
      <c r="D372" s="103"/>
    </row>
    <row r="373" spans="4:4" ht="13.2">
      <c r="D373" s="103"/>
    </row>
    <row r="374" spans="4:4" ht="13.2">
      <c r="D374" s="103"/>
    </row>
    <row r="375" spans="4:4" ht="13.2">
      <c r="D375" s="103"/>
    </row>
    <row r="376" spans="4:4" ht="13.2">
      <c r="D376" s="103"/>
    </row>
    <row r="377" spans="4:4" ht="13.2">
      <c r="D377" s="103"/>
    </row>
    <row r="378" spans="4:4" ht="13.2">
      <c r="D378" s="103"/>
    </row>
    <row r="379" spans="4:4" ht="13.2">
      <c r="D379" s="103"/>
    </row>
    <row r="380" spans="4:4" ht="13.2">
      <c r="D380" s="103"/>
    </row>
    <row r="381" spans="4:4" ht="13.2">
      <c r="D381" s="103"/>
    </row>
    <row r="382" spans="4:4" ht="13.2">
      <c r="D382" s="103"/>
    </row>
    <row r="383" spans="4:4" ht="13.2">
      <c r="D383" s="103"/>
    </row>
    <row r="384" spans="4:4" ht="13.2">
      <c r="D384" s="103"/>
    </row>
    <row r="385" spans="4:4" ht="13.2">
      <c r="D385" s="103"/>
    </row>
    <row r="386" spans="4:4" ht="13.2">
      <c r="D386" s="103"/>
    </row>
    <row r="387" spans="4:4" ht="13.2">
      <c r="D387" s="103"/>
    </row>
    <row r="388" spans="4:4" ht="13.2">
      <c r="D388" s="103"/>
    </row>
    <row r="389" spans="4:4" ht="13.2">
      <c r="D389" s="103"/>
    </row>
    <row r="390" spans="4:4" ht="13.2">
      <c r="D390" s="103"/>
    </row>
    <row r="391" spans="4:4" ht="13.2">
      <c r="D391" s="103"/>
    </row>
    <row r="392" spans="4:4" ht="13.2">
      <c r="D392" s="103"/>
    </row>
    <row r="393" spans="4:4" ht="13.2">
      <c r="D393" s="103"/>
    </row>
    <row r="394" spans="4:4" ht="13.2">
      <c r="D394" s="103"/>
    </row>
    <row r="395" spans="4:4" ht="13.2">
      <c r="D395" s="103"/>
    </row>
    <row r="396" spans="4:4" ht="13.2">
      <c r="D396" s="103"/>
    </row>
    <row r="397" spans="4:4" ht="13.2">
      <c r="D397" s="103"/>
    </row>
    <row r="398" spans="4:4" ht="13.2">
      <c r="D398" s="103"/>
    </row>
    <row r="399" spans="4:4" ht="13.2">
      <c r="D399" s="103"/>
    </row>
    <row r="400" spans="4:4" ht="13.2">
      <c r="D400" s="103"/>
    </row>
    <row r="401" spans="4:4" ht="13.2">
      <c r="D401" s="103"/>
    </row>
    <row r="402" spans="4:4" ht="13.2">
      <c r="D402" s="103"/>
    </row>
    <row r="403" spans="4:4" ht="13.2">
      <c r="D403" s="103"/>
    </row>
    <row r="404" spans="4:4" ht="13.2">
      <c r="D404" s="103"/>
    </row>
    <row r="405" spans="4:4" ht="13.2">
      <c r="D405" s="103"/>
    </row>
    <row r="406" spans="4:4" ht="13.2">
      <c r="D406" s="103"/>
    </row>
    <row r="407" spans="4:4" ht="13.2">
      <c r="D407" s="103"/>
    </row>
    <row r="408" spans="4:4" ht="13.2">
      <c r="D408" s="103"/>
    </row>
    <row r="409" spans="4:4" ht="13.2">
      <c r="D409" s="103"/>
    </row>
    <row r="410" spans="4:4" ht="13.2">
      <c r="D410" s="103"/>
    </row>
    <row r="411" spans="4:4" ht="13.2">
      <c r="D411" s="103"/>
    </row>
    <row r="412" spans="4:4" ht="13.2">
      <c r="D412" s="103"/>
    </row>
    <row r="413" spans="4:4" ht="13.2">
      <c r="D413" s="103"/>
    </row>
    <row r="414" spans="4:4" ht="13.2">
      <c r="D414" s="103"/>
    </row>
    <row r="415" spans="4:4" ht="13.2">
      <c r="D415" s="103"/>
    </row>
    <row r="416" spans="4:4" ht="13.2">
      <c r="D416" s="103"/>
    </row>
    <row r="417" spans="4:4" ht="13.2">
      <c r="D417" s="103"/>
    </row>
    <row r="418" spans="4:4" ht="13.2">
      <c r="D418" s="103"/>
    </row>
    <row r="419" spans="4:4" ht="13.2">
      <c r="D419" s="103"/>
    </row>
    <row r="420" spans="4:4" ht="13.2">
      <c r="D420" s="103"/>
    </row>
    <row r="421" spans="4:4" ht="13.2">
      <c r="D421" s="103"/>
    </row>
    <row r="422" spans="4:4" ht="13.2">
      <c r="D422" s="103"/>
    </row>
    <row r="423" spans="4:4" ht="13.2">
      <c r="D423" s="103"/>
    </row>
    <row r="424" spans="4:4" ht="13.2">
      <c r="D424" s="103"/>
    </row>
    <row r="425" spans="4:4" ht="13.2">
      <c r="D425" s="103"/>
    </row>
    <row r="426" spans="4:4" ht="13.2">
      <c r="D426" s="103"/>
    </row>
    <row r="427" spans="4:4" ht="13.2">
      <c r="D427" s="103"/>
    </row>
    <row r="428" spans="4:4" ht="13.2">
      <c r="D428" s="103"/>
    </row>
    <row r="429" spans="4:4" ht="13.2">
      <c r="D429" s="103"/>
    </row>
    <row r="430" spans="4:4" ht="13.2">
      <c r="D430" s="103"/>
    </row>
    <row r="431" spans="4:4" ht="13.2">
      <c r="D431" s="103"/>
    </row>
    <row r="432" spans="4:4" ht="13.2">
      <c r="D432" s="103"/>
    </row>
    <row r="433" spans="4:4" ht="13.2">
      <c r="D433" s="103"/>
    </row>
    <row r="434" spans="4:4" ht="13.2">
      <c r="D434" s="103"/>
    </row>
    <row r="435" spans="4:4" ht="13.2">
      <c r="D435" s="103"/>
    </row>
    <row r="436" spans="4:4" ht="13.2">
      <c r="D436" s="103"/>
    </row>
    <row r="437" spans="4:4" ht="13.2">
      <c r="D437" s="103"/>
    </row>
    <row r="438" spans="4:4" ht="13.2">
      <c r="D438" s="103"/>
    </row>
    <row r="439" spans="4:4" ht="13.2">
      <c r="D439" s="103"/>
    </row>
    <row r="440" spans="4:4" ht="13.2">
      <c r="D440" s="103"/>
    </row>
    <row r="441" spans="4:4" ht="13.2">
      <c r="D441" s="103"/>
    </row>
    <row r="442" spans="4:4" ht="13.2">
      <c r="D442" s="103"/>
    </row>
    <row r="443" spans="4:4" ht="13.2">
      <c r="D443" s="103"/>
    </row>
    <row r="444" spans="4:4" ht="13.2">
      <c r="D444" s="103"/>
    </row>
    <row r="445" spans="4:4" ht="13.2">
      <c r="D445" s="103"/>
    </row>
    <row r="446" spans="4:4" ht="13.2">
      <c r="D446" s="103"/>
    </row>
    <row r="447" spans="4:4" ht="13.2">
      <c r="D447" s="103"/>
    </row>
    <row r="448" spans="4:4" ht="13.2">
      <c r="D448" s="103"/>
    </row>
    <row r="449" spans="4:4" ht="13.2">
      <c r="D449" s="103"/>
    </row>
    <row r="450" spans="4:4" ht="13.2">
      <c r="D450" s="103"/>
    </row>
    <row r="451" spans="4:4" ht="13.2">
      <c r="D451" s="103"/>
    </row>
    <row r="452" spans="4:4" ht="13.2">
      <c r="D452" s="103"/>
    </row>
    <row r="453" spans="4:4" ht="13.2">
      <c r="D453" s="103"/>
    </row>
    <row r="454" spans="4:4" ht="13.2">
      <c r="D454" s="103"/>
    </row>
    <row r="455" spans="4:4" ht="13.2">
      <c r="D455" s="103"/>
    </row>
    <row r="456" spans="4:4" ht="13.2">
      <c r="D456" s="103"/>
    </row>
    <row r="457" spans="4:4" ht="13.2">
      <c r="D457" s="103"/>
    </row>
    <row r="458" spans="4:4" ht="13.2">
      <c r="D458" s="103"/>
    </row>
    <row r="459" spans="4:4" ht="13.2">
      <c r="D459" s="103"/>
    </row>
    <row r="460" spans="4:4" ht="13.2">
      <c r="D460" s="103"/>
    </row>
    <row r="461" spans="4:4" ht="13.2">
      <c r="D461" s="103"/>
    </row>
    <row r="462" spans="4:4" ht="13.2">
      <c r="D462" s="103"/>
    </row>
    <row r="463" spans="4:4" ht="13.2">
      <c r="D463" s="103"/>
    </row>
    <row r="464" spans="4:4" ht="13.2">
      <c r="D464" s="103"/>
    </row>
    <row r="465" spans="4:4" ht="13.2">
      <c r="D465" s="103"/>
    </row>
    <row r="466" spans="4:4" ht="13.2">
      <c r="D466" s="103"/>
    </row>
    <row r="467" spans="4:4" ht="13.2">
      <c r="D467" s="103"/>
    </row>
    <row r="468" spans="4:4" ht="13.2">
      <c r="D468" s="103"/>
    </row>
    <row r="469" spans="4:4" ht="13.2">
      <c r="D469" s="103"/>
    </row>
    <row r="470" spans="4:4" ht="13.2">
      <c r="D470" s="103"/>
    </row>
    <row r="471" spans="4:4" ht="13.2">
      <c r="D471" s="103"/>
    </row>
    <row r="472" spans="4:4" ht="13.2">
      <c r="D472" s="103"/>
    </row>
    <row r="473" spans="4:4" ht="13.2">
      <c r="D473" s="103"/>
    </row>
    <row r="474" spans="4:4" ht="13.2">
      <c r="D474" s="103"/>
    </row>
    <row r="475" spans="4:4" ht="13.2">
      <c r="D475" s="103"/>
    </row>
    <row r="476" spans="4:4" ht="13.2">
      <c r="D476" s="103"/>
    </row>
    <row r="477" spans="4:4" ht="13.2">
      <c r="D477" s="103"/>
    </row>
    <row r="478" spans="4:4" ht="13.2">
      <c r="D478" s="103"/>
    </row>
    <row r="479" spans="4:4" ht="13.2">
      <c r="D479" s="103"/>
    </row>
    <row r="480" spans="4:4" ht="13.2">
      <c r="D480" s="103"/>
    </row>
    <row r="481" spans="4:4" ht="13.2">
      <c r="D481" s="103"/>
    </row>
    <row r="482" spans="4:4" ht="13.2">
      <c r="D482" s="103"/>
    </row>
    <row r="483" spans="4:4" ht="13.2">
      <c r="D483" s="103"/>
    </row>
    <row r="484" spans="4:4" ht="13.2">
      <c r="D484" s="103"/>
    </row>
    <row r="485" spans="4:4" ht="13.2">
      <c r="D485" s="103"/>
    </row>
    <row r="486" spans="4:4" ht="13.2">
      <c r="D486" s="103"/>
    </row>
    <row r="487" spans="4:4" ht="13.2">
      <c r="D487" s="103"/>
    </row>
    <row r="488" spans="4:4" ht="13.2">
      <c r="D488" s="103"/>
    </row>
    <row r="489" spans="4:4" ht="13.2">
      <c r="D489" s="103"/>
    </row>
    <row r="490" spans="4:4" ht="13.2">
      <c r="D490" s="103"/>
    </row>
    <row r="491" spans="4:4" ht="13.2">
      <c r="D491" s="103"/>
    </row>
    <row r="492" spans="4:4" ht="13.2">
      <c r="D492" s="103"/>
    </row>
    <row r="493" spans="4:4" ht="13.2">
      <c r="D493" s="103"/>
    </row>
    <row r="494" spans="4:4" ht="13.2">
      <c r="D494" s="103"/>
    </row>
    <row r="495" spans="4:4" ht="13.2">
      <c r="D495" s="103"/>
    </row>
    <row r="496" spans="4:4" ht="13.2">
      <c r="D496" s="103"/>
    </row>
    <row r="497" spans="4:4" ht="13.2">
      <c r="D497" s="103"/>
    </row>
    <row r="498" spans="4:4" ht="13.2">
      <c r="D498" s="103"/>
    </row>
    <row r="499" spans="4:4" ht="13.2">
      <c r="D499" s="103"/>
    </row>
    <row r="500" spans="4:4" ht="13.2">
      <c r="D500" s="103"/>
    </row>
    <row r="501" spans="4:4" ht="13.2">
      <c r="D501" s="103"/>
    </row>
    <row r="502" spans="4:4" ht="13.2">
      <c r="D502" s="103"/>
    </row>
    <row r="503" spans="4:4" ht="13.2">
      <c r="D503" s="103"/>
    </row>
    <row r="504" spans="4:4" ht="13.2">
      <c r="D504" s="103"/>
    </row>
    <row r="505" spans="4:4" ht="13.2">
      <c r="D505" s="103"/>
    </row>
    <row r="506" spans="4:4" ht="13.2">
      <c r="D506" s="103"/>
    </row>
    <row r="507" spans="4:4" ht="13.2">
      <c r="D507" s="103"/>
    </row>
    <row r="508" spans="4:4" ht="13.2">
      <c r="D508" s="103"/>
    </row>
    <row r="509" spans="4:4" ht="13.2">
      <c r="D509" s="103"/>
    </row>
    <row r="510" spans="4:4" ht="13.2">
      <c r="D510" s="103"/>
    </row>
    <row r="511" spans="4:4" ht="13.2">
      <c r="D511" s="103"/>
    </row>
    <row r="512" spans="4:4" ht="13.2">
      <c r="D512" s="103"/>
    </row>
    <row r="513" spans="4:4" ht="13.2">
      <c r="D513" s="103"/>
    </row>
    <row r="514" spans="4:4" ht="13.2">
      <c r="D514" s="103"/>
    </row>
    <row r="515" spans="4:4" ht="13.2">
      <c r="D515" s="103"/>
    </row>
    <row r="516" spans="4:4" ht="13.2">
      <c r="D516" s="103"/>
    </row>
    <row r="517" spans="4:4" ht="13.2">
      <c r="D517" s="103"/>
    </row>
    <row r="518" spans="4:4" ht="13.2">
      <c r="D518" s="103"/>
    </row>
    <row r="519" spans="4:4" ht="13.2">
      <c r="D519" s="103"/>
    </row>
    <row r="520" spans="4:4" ht="13.2">
      <c r="D520" s="103"/>
    </row>
    <row r="521" spans="4:4" ht="13.2">
      <c r="D521" s="103"/>
    </row>
    <row r="522" spans="4:4" ht="13.2">
      <c r="D522" s="103"/>
    </row>
    <row r="523" spans="4:4" ht="13.2">
      <c r="D523" s="103"/>
    </row>
    <row r="524" spans="4:4" ht="13.2">
      <c r="D524" s="103"/>
    </row>
    <row r="525" spans="4:4" ht="13.2">
      <c r="D525" s="103"/>
    </row>
    <row r="526" spans="4:4" ht="13.2">
      <c r="D526" s="103"/>
    </row>
    <row r="527" spans="4:4" ht="13.2">
      <c r="D527" s="103"/>
    </row>
    <row r="528" spans="4:4" ht="13.2">
      <c r="D528" s="103"/>
    </row>
    <row r="529" spans="4:4" ht="13.2">
      <c r="D529" s="103"/>
    </row>
    <row r="530" spans="4:4" ht="13.2">
      <c r="D530" s="103"/>
    </row>
    <row r="531" spans="4:4" ht="13.2">
      <c r="D531" s="103"/>
    </row>
    <row r="532" spans="4:4" ht="13.2">
      <c r="D532" s="103"/>
    </row>
    <row r="533" spans="4:4" ht="13.2">
      <c r="D533" s="103"/>
    </row>
    <row r="534" spans="4:4" ht="13.2">
      <c r="D534" s="103"/>
    </row>
    <row r="535" spans="4:4" ht="13.2">
      <c r="D535" s="103"/>
    </row>
    <row r="536" spans="4:4" ht="13.2">
      <c r="D536" s="103"/>
    </row>
    <row r="537" spans="4:4" ht="13.2">
      <c r="D537" s="103"/>
    </row>
    <row r="538" spans="4:4" ht="13.2">
      <c r="D538" s="103"/>
    </row>
    <row r="539" spans="4:4" ht="13.2">
      <c r="D539" s="103"/>
    </row>
    <row r="540" spans="4:4" ht="13.2">
      <c r="D540" s="103"/>
    </row>
    <row r="541" spans="4:4" ht="13.2">
      <c r="D541" s="103"/>
    </row>
    <row r="542" spans="4:4" ht="13.2">
      <c r="D542" s="103"/>
    </row>
    <row r="543" spans="4:4" ht="13.2">
      <c r="D543" s="103"/>
    </row>
    <row r="544" spans="4:4" ht="13.2">
      <c r="D544" s="103"/>
    </row>
    <row r="545" spans="4:4" ht="13.2">
      <c r="D545" s="103"/>
    </row>
    <row r="546" spans="4:4" ht="13.2">
      <c r="D546" s="103"/>
    </row>
    <row r="547" spans="4:4" ht="13.2">
      <c r="D547" s="103"/>
    </row>
    <row r="548" spans="4:4" ht="13.2">
      <c r="D548" s="103"/>
    </row>
    <row r="549" spans="4:4" ht="13.2">
      <c r="D549" s="103"/>
    </row>
    <row r="550" spans="4:4" ht="13.2">
      <c r="D550" s="103"/>
    </row>
    <row r="551" spans="4:4" ht="13.2">
      <c r="D551" s="103"/>
    </row>
    <row r="552" spans="4:4" ht="13.2">
      <c r="D552" s="103"/>
    </row>
    <row r="553" spans="4:4" ht="13.2">
      <c r="D553" s="103"/>
    </row>
    <row r="554" spans="4:4" ht="13.2">
      <c r="D554" s="103"/>
    </row>
    <row r="555" spans="4:4" ht="13.2">
      <c r="D555" s="103"/>
    </row>
    <row r="556" spans="4:4" ht="13.2">
      <c r="D556" s="103"/>
    </row>
    <row r="557" spans="4:4" ht="13.2">
      <c r="D557" s="103"/>
    </row>
    <row r="558" spans="4:4" ht="13.2">
      <c r="D558" s="103"/>
    </row>
    <row r="559" spans="4:4" ht="13.2">
      <c r="D559" s="103"/>
    </row>
    <row r="560" spans="4:4" ht="13.2">
      <c r="D560" s="103"/>
    </row>
    <row r="561" spans="4:4" ht="13.2">
      <c r="D561" s="103"/>
    </row>
    <row r="562" spans="4:4" ht="13.2">
      <c r="D562" s="103"/>
    </row>
    <row r="563" spans="4:4" ht="13.2">
      <c r="D563" s="103"/>
    </row>
    <row r="564" spans="4:4" ht="13.2">
      <c r="D564" s="103"/>
    </row>
    <row r="565" spans="4:4" ht="13.2">
      <c r="D565" s="103"/>
    </row>
    <row r="566" spans="4:4" ht="13.2">
      <c r="D566" s="103"/>
    </row>
    <row r="567" spans="4:4" ht="13.2">
      <c r="D567" s="103"/>
    </row>
    <row r="568" spans="4:4" ht="13.2">
      <c r="D568" s="103"/>
    </row>
    <row r="569" spans="4:4" ht="13.2">
      <c r="D569" s="103"/>
    </row>
    <row r="570" spans="4:4" ht="13.2">
      <c r="D570" s="103"/>
    </row>
    <row r="571" spans="4:4" ht="13.2">
      <c r="D571" s="103"/>
    </row>
    <row r="572" spans="4:4" ht="13.2">
      <c r="D572" s="103"/>
    </row>
    <row r="573" spans="4:4" ht="13.2">
      <c r="D573" s="103"/>
    </row>
    <row r="574" spans="4:4" ht="13.2">
      <c r="D574" s="103"/>
    </row>
    <row r="575" spans="4:4" ht="13.2">
      <c r="D575" s="103"/>
    </row>
    <row r="576" spans="4:4" ht="13.2">
      <c r="D576" s="103"/>
    </row>
    <row r="577" spans="4:4" ht="13.2">
      <c r="D577" s="103"/>
    </row>
    <row r="578" spans="4:4" ht="13.2">
      <c r="D578" s="103"/>
    </row>
    <row r="579" spans="4:4" ht="13.2">
      <c r="D579" s="103"/>
    </row>
    <row r="580" spans="4:4" ht="13.2">
      <c r="D580" s="103"/>
    </row>
    <row r="581" spans="4:4" ht="13.2">
      <c r="D581" s="103"/>
    </row>
    <row r="582" spans="4:4" ht="13.2">
      <c r="D582" s="103"/>
    </row>
    <row r="583" spans="4:4" ht="13.2">
      <c r="D583" s="103"/>
    </row>
    <row r="584" spans="4:4" ht="13.2">
      <c r="D584" s="103"/>
    </row>
    <row r="585" spans="4:4" ht="13.2">
      <c r="D585" s="103"/>
    </row>
    <row r="586" spans="4:4" ht="13.2">
      <c r="D586" s="103"/>
    </row>
    <row r="587" spans="4:4" ht="13.2">
      <c r="D587" s="103"/>
    </row>
    <row r="588" spans="4:4" ht="13.2">
      <c r="D588" s="103"/>
    </row>
    <row r="589" spans="4:4" ht="13.2">
      <c r="D589" s="103"/>
    </row>
    <row r="590" spans="4:4" ht="13.2">
      <c r="D590" s="103"/>
    </row>
    <row r="591" spans="4:4" ht="13.2">
      <c r="D591" s="103"/>
    </row>
    <row r="592" spans="4:4" ht="13.2">
      <c r="D592" s="103"/>
    </row>
    <row r="593" spans="4:4" ht="13.2">
      <c r="D593" s="103"/>
    </row>
    <row r="594" spans="4:4" ht="13.2">
      <c r="D594" s="103"/>
    </row>
    <row r="595" spans="4:4" ht="13.2">
      <c r="D595" s="103"/>
    </row>
    <row r="596" spans="4:4" ht="13.2">
      <c r="D596" s="103"/>
    </row>
    <row r="597" spans="4:4" ht="13.2">
      <c r="D597" s="103"/>
    </row>
    <row r="598" spans="4:4" ht="13.2">
      <c r="D598" s="103"/>
    </row>
    <row r="599" spans="4:4" ht="13.2">
      <c r="D599" s="103"/>
    </row>
    <row r="600" spans="4:4" ht="13.2">
      <c r="D600" s="103"/>
    </row>
    <row r="601" spans="4:4" ht="13.2">
      <c r="D601" s="103"/>
    </row>
    <row r="602" spans="4:4" ht="13.2">
      <c r="D602" s="103"/>
    </row>
    <row r="603" spans="4:4" ht="13.2">
      <c r="D603" s="103"/>
    </row>
    <row r="604" spans="4:4" ht="13.2">
      <c r="D604" s="103"/>
    </row>
    <row r="605" spans="4:4" ht="13.2">
      <c r="D605" s="103"/>
    </row>
    <row r="606" spans="4:4" ht="13.2">
      <c r="D606" s="103"/>
    </row>
    <row r="607" spans="4:4" ht="13.2">
      <c r="D607" s="103"/>
    </row>
    <row r="608" spans="4:4" ht="13.2">
      <c r="D608" s="103"/>
    </row>
    <row r="609" spans="4:4" ht="13.2">
      <c r="D609" s="103"/>
    </row>
    <row r="610" spans="4:4" ht="13.2">
      <c r="D610" s="103"/>
    </row>
    <row r="611" spans="4:4" ht="13.2">
      <c r="D611" s="103"/>
    </row>
    <row r="612" spans="4:4" ht="13.2">
      <c r="D612" s="103"/>
    </row>
    <row r="613" spans="4:4" ht="13.2">
      <c r="D613" s="103"/>
    </row>
    <row r="614" spans="4:4" ht="13.2">
      <c r="D614" s="103"/>
    </row>
    <row r="615" spans="4:4" ht="13.2">
      <c r="D615" s="103"/>
    </row>
    <row r="616" spans="4:4" ht="13.2">
      <c r="D616" s="103"/>
    </row>
    <row r="617" spans="4:4" ht="13.2">
      <c r="D617" s="103"/>
    </row>
    <row r="618" spans="4:4" ht="13.2">
      <c r="D618" s="103"/>
    </row>
    <row r="619" spans="4:4" ht="13.2">
      <c r="D619" s="103"/>
    </row>
    <row r="620" spans="4:4" ht="13.2">
      <c r="D620" s="103"/>
    </row>
    <row r="621" spans="4:4" ht="13.2">
      <c r="D621" s="103"/>
    </row>
    <row r="622" spans="4:4" ht="13.2">
      <c r="D622" s="103"/>
    </row>
    <row r="623" spans="4:4" ht="13.2">
      <c r="D623" s="103"/>
    </row>
    <row r="624" spans="4:4" ht="13.2">
      <c r="D624" s="103"/>
    </row>
    <row r="625" spans="4:4" ht="13.2">
      <c r="D625" s="103"/>
    </row>
    <row r="626" spans="4:4" ht="13.2">
      <c r="D626" s="103"/>
    </row>
    <row r="627" spans="4:4" ht="13.2">
      <c r="D627" s="103"/>
    </row>
    <row r="628" spans="4:4" ht="13.2">
      <c r="D628" s="103"/>
    </row>
    <row r="629" spans="4:4" ht="13.2">
      <c r="D629" s="103"/>
    </row>
    <row r="630" spans="4:4" ht="13.2">
      <c r="D630" s="103"/>
    </row>
    <row r="631" spans="4:4" ht="13.2">
      <c r="D631" s="103"/>
    </row>
    <row r="632" spans="4:4" ht="13.2">
      <c r="D632" s="103"/>
    </row>
    <row r="633" spans="4:4" ht="13.2">
      <c r="D633" s="103"/>
    </row>
    <row r="634" spans="4:4" ht="13.2">
      <c r="D634" s="103"/>
    </row>
    <row r="635" spans="4:4" ht="13.2">
      <c r="D635" s="103"/>
    </row>
    <row r="636" spans="4:4" ht="13.2">
      <c r="D636" s="103"/>
    </row>
    <row r="637" spans="4:4" ht="13.2">
      <c r="D637" s="103"/>
    </row>
    <row r="638" spans="4:4" ht="13.2">
      <c r="D638" s="103"/>
    </row>
    <row r="639" spans="4:4" ht="13.2">
      <c r="D639" s="103"/>
    </row>
    <row r="640" spans="4:4" ht="13.2">
      <c r="D640" s="103"/>
    </row>
    <row r="641" spans="4:4" ht="13.2">
      <c r="D641" s="103"/>
    </row>
    <row r="642" spans="4:4" ht="13.2">
      <c r="D642" s="103"/>
    </row>
    <row r="643" spans="4:4" ht="13.2">
      <c r="D643" s="103"/>
    </row>
    <row r="644" spans="4:4" ht="13.2">
      <c r="D644" s="103"/>
    </row>
    <row r="645" spans="4:4" ht="13.2">
      <c r="D645" s="103"/>
    </row>
    <row r="646" spans="4:4" ht="13.2">
      <c r="D646" s="103"/>
    </row>
    <row r="647" spans="4:4" ht="13.2">
      <c r="D647" s="103"/>
    </row>
    <row r="648" spans="4:4" ht="13.2">
      <c r="D648" s="103"/>
    </row>
    <row r="649" spans="4:4" ht="13.2">
      <c r="D649" s="103"/>
    </row>
    <row r="650" spans="4:4" ht="13.2">
      <c r="D650" s="103"/>
    </row>
    <row r="651" spans="4:4" ht="13.2">
      <c r="D651" s="103"/>
    </row>
    <row r="652" spans="4:4" ht="13.2">
      <c r="D652" s="103"/>
    </row>
    <row r="653" spans="4:4" ht="13.2">
      <c r="D653" s="103"/>
    </row>
    <row r="654" spans="4:4" ht="13.2">
      <c r="D654" s="103"/>
    </row>
    <row r="655" spans="4:4" ht="13.2">
      <c r="D655" s="103"/>
    </row>
    <row r="656" spans="4:4" ht="13.2">
      <c r="D656" s="103"/>
    </row>
    <row r="657" spans="4:4" ht="13.2">
      <c r="D657" s="103"/>
    </row>
    <row r="658" spans="4:4" ht="13.2">
      <c r="D658" s="103"/>
    </row>
    <row r="659" spans="4:4" ht="13.2">
      <c r="D659" s="103"/>
    </row>
    <row r="660" spans="4:4" ht="13.2">
      <c r="D660" s="103"/>
    </row>
    <row r="661" spans="4:4" ht="13.2">
      <c r="D661" s="103"/>
    </row>
    <row r="662" spans="4:4" ht="13.2">
      <c r="D662" s="103"/>
    </row>
    <row r="663" spans="4:4" ht="13.2">
      <c r="D663" s="103"/>
    </row>
    <row r="664" spans="4:4" ht="13.2">
      <c r="D664" s="103"/>
    </row>
    <row r="665" spans="4:4" ht="13.2">
      <c r="D665" s="103"/>
    </row>
    <row r="666" spans="4:4" ht="13.2">
      <c r="D666" s="103"/>
    </row>
    <row r="667" spans="4:4" ht="13.2">
      <c r="D667" s="103"/>
    </row>
    <row r="668" spans="4:4" ht="13.2">
      <c r="D668" s="103"/>
    </row>
    <row r="669" spans="4:4" ht="13.2">
      <c r="D669" s="103"/>
    </row>
    <row r="670" spans="4:4" ht="13.2">
      <c r="D670" s="103"/>
    </row>
    <row r="671" spans="4:4" ht="13.2">
      <c r="D671" s="103"/>
    </row>
    <row r="672" spans="4:4" ht="13.2">
      <c r="D672" s="103"/>
    </row>
    <row r="673" spans="4:4" ht="13.2">
      <c r="D673" s="103"/>
    </row>
    <row r="674" spans="4:4" ht="13.2">
      <c r="D674" s="103"/>
    </row>
    <row r="675" spans="4:4" ht="13.2">
      <c r="D675" s="103"/>
    </row>
    <row r="676" spans="4:4" ht="13.2">
      <c r="D676" s="103"/>
    </row>
    <row r="677" spans="4:4" ht="13.2">
      <c r="D677" s="103"/>
    </row>
    <row r="678" spans="4:4" ht="13.2">
      <c r="D678" s="103"/>
    </row>
    <row r="679" spans="4:4" ht="13.2">
      <c r="D679" s="103"/>
    </row>
    <row r="680" spans="4:4" ht="13.2">
      <c r="D680" s="103"/>
    </row>
    <row r="681" spans="4:4" ht="13.2">
      <c r="D681" s="103"/>
    </row>
    <row r="682" spans="4:4" ht="13.2">
      <c r="D682" s="103"/>
    </row>
    <row r="683" spans="4:4" ht="13.2">
      <c r="D683" s="103"/>
    </row>
    <row r="684" spans="4:4" ht="13.2">
      <c r="D684" s="103"/>
    </row>
    <row r="685" spans="4:4" ht="13.2">
      <c r="D685" s="103"/>
    </row>
    <row r="686" spans="4:4" ht="13.2">
      <c r="D686" s="103"/>
    </row>
    <row r="687" spans="4:4" ht="13.2">
      <c r="D687" s="103"/>
    </row>
    <row r="688" spans="4:4" ht="13.2">
      <c r="D688" s="103"/>
    </row>
    <row r="689" spans="4:4" ht="13.2">
      <c r="D689" s="103"/>
    </row>
    <row r="690" spans="4:4" ht="13.2">
      <c r="D690" s="103"/>
    </row>
    <row r="691" spans="4:4" ht="13.2">
      <c r="D691" s="103"/>
    </row>
    <row r="692" spans="4:4" ht="13.2">
      <c r="D692" s="103"/>
    </row>
    <row r="693" spans="4:4" ht="13.2">
      <c r="D693" s="103"/>
    </row>
    <row r="694" spans="4:4" ht="13.2">
      <c r="D694" s="103"/>
    </row>
    <row r="695" spans="4:4" ht="13.2">
      <c r="D695" s="103"/>
    </row>
    <row r="696" spans="4:4" ht="13.2">
      <c r="D696" s="103"/>
    </row>
    <row r="697" spans="4:4" ht="13.2">
      <c r="D697" s="103"/>
    </row>
    <row r="698" spans="4:4" ht="13.2">
      <c r="D698" s="103"/>
    </row>
    <row r="699" spans="4:4" ht="13.2">
      <c r="D699" s="103"/>
    </row>
    <row r="700" spans="4:4" ht="13.2">
      <c r="D700" s="103"/>
    </row>
    <row r="701" spans="4:4" ht="13.2">
      <c r="D701" s="103"/>
    </row>
    <row r="702" spans="4:4" ht="13.2">
      <c r="D702" s="103"/>
    </row>
    <row r="703" spans="4:4" ht="13.2">
      <c r="D703" s="103"/>
    </row>
    <row r="704" spans="4:4" ht="13.2">
      <c r="D704" s="103"/>
    </row>
    <row r="705" spans="4:4" ht="13.2">
      <c r="D705" s="103"/>
    </row>
    <row r="706" spans="4:4" ht="13.2">
      <c r="D706" s="103"/>
    </row>
    <row r="707" spans="4:4" ht="13.2">
      <c r="D707" s="103"/>
    </row>
    <row r="708" spans="4:4" ht="13.2">
      <c r="D708" s="103"/>
    </row>
    <row r="709" spans="4:4" ht="13.2">
      <c r="D709" s="103"/>
    </row>
    <row r="710" spans="4:4" ht="13.2">
      <c r="D710" s="103"/>
    </row>
    <row r="711" spans="4:4" ht="13.2">
      <c r="D711" s="103"/>
    </row>
    <row r="712" spans="4:4" ht="13.2">
      <c r="D712" s="103"/>
    </row>
    <row r="713" spans="4:4" ht="13.2">
      <c r="D713" s="103"/>
    </row>
    <row r="714" spans="4:4" ht="13.2">
      <c r="D714" s="103"/>
    </row>
    <row r="715" spans="4:4" ht="13.2">
      <c r="D715" s="103"/>
    </row>
    <row r="716" spans="4:4" ht="13.2">
      <c r="D716" s="103"/>
    </row>
    <row r="717" spans="4:4" ht="13.2">
      <c r="D717" s="103"/>
    </row>
    <row r="718" spans="4:4" ht="13.2">
      <c r="D718" s="103"/>
    </row>
    <row r="719" spans="4:4" ht="13.2">
      <c r="D719" s="103"/>
    </row>
    <row r="720" spans="4:4" ht="13.2">
      <c r="D720" s="103"/>
    </row>
    <row r="721" spans="4:4" ht="13.2">
      <c r="D721" s="103"/>
    </row>
    <row r="722" spans="4:4" ht="13.2">
      <c r="D722" s="103"/>
    </row>
    <row r="723" spans="4:4" ht="13.2">
      <c r="D723" s="103"/>
    </row>
    <row r="724" spans="4:4" ht="13.2">
      <c r="D724" s="103"/>
    </row>
    <row r="725" spans="4:4" ht="13.2">
      <c r="D725" s="103"/>
    </row>
    <row r="726" spans="4:4" ht="13.2">
      <c r="D726" s="103"/>
    </row>
    <row r="727" spans="4:4" ht="13.2">
      <c r="D727" s="103"/>
    </row>
    <row r="728" spans="4:4" ht="13.2">
      <c r="D728" s="103"/>
    </row>
    <row r="729" spans="4:4" ht="13.2">
      <c r="D729" s="103"/>
    </row>
    <row r="730" spans="4:4" ht="13.2">
      <c r="D730" s="103"/>
    </row>
    <row r="731" spans="4:4" ht="13.2">
      <c r="D731" s="103"/>
    </row>
    <row r="732" spans="4:4" ht="13.2">
      <c r="D732" s="103"/>
    </row>
    <row r="733" spans="4:4" ht="13.2">
      <c r="D733" s="103"/>
    </row>
    <row r="734" spans="4:4" ht="13.2">
      <c r="D734" s="103"/>
    </row>
    <row r="735" spans="4:4" ht="13.2">
      <c r="D735" s="103"/>
    </row>
    <row r="736" spans="4:4" ht="13.2">
      <c r="D736" s="103"/>
    </row>
    <row r="737" spans="4:4" ht="13.2">
      <c r="D737" s="103"/>
    </row>
    <row r="738" spans="4:4" ht="13.2">
      <c r="D738" s="103"/>
    </row>
    <row r="739" spans="4:4" ht="13.2">
      <c r="D739" s="103"/>
    </row>
    <row r="740" spans="4:4" ht="13.2">
      <c r="D740" s="103"/>
    </row>
    <row r="741" spans="4:4" ht="13.2">
      <c r="D741" s="103"/>
    </row>
    <row r="742" spans="4:4" ht="13.2">
      <c r="D742" s="103"/>
    </row>
    <row r="743" spans="4:4" ht="13.2">
      <c r="D743" s="103"/>
    </row>
    <row r="744" spans="4:4" ht="13.2">
      <c r="D744" s="103"/>
    </row>
    <row r="745" spans="4:4" ht="13.2">
      <c r="D745" s="103"/>
    </row>
    <row r="746" spans="4:4" ht="13.2">
      <c r="D746" s="103"/>
    </row>
    <row r="747" spans="4:4" ht="13.2">
      <c r="D747" s="103"/>
    </row>
    <row r="748" spans="4:4" ht="13.2">
      <c r="D748" s="103"/>
    </row>
    <row r="749" spans="4:4" ht="13.2">
      <c r="D749" s="103"/>
    </row>
    <row r="750" spans="4:4" ht="13.2">
      <c r="D750" s="103"/>
    </row>
    <row r="751" spans="4:4" ht="13.2">
      <c r="D751" s="103"/>
    </row>
    <row r="752" spans="4:4" ht="13.2">
      <c r="D752" s="103"/>
    </row>
    <row r="753" spans="4:4" ht="13.2">
      <c r="D753" s="103"/>
    </row>
    <row r="754" spans="4:4" ht="13.2">
      <c r="D754" s="103"/>
    </row>
    <row r="755" spans="4:4" ht="13.2">
      <c r="D755" s="103"/>
    </row>
    <row r="756" spans="4:4" ht="13.2">
      <c r="D756" s="103"/>
    </row>
    <row r="757" spans="4:4" ht="13.2">
      <c r="D757" s="103"/>
    </row>
    <row r="758" spans="4:4" ht="13.2">
      <c r="D758" s="103"/>
    </row>
    <row r="759" spans="4:4" ht="13.2">
      <c r="D759" s="103"/>
    </row>
    <row r="760" spans="4:4" ht="13.2">
      <c r="D760" s="103"/>
    </row>
    <row r="761" spans="4:4" ht="13.2">
      <c r="D761" s="103"/>
    </row>
    <row r="762" spans="4:4" ht="13.2">
      <c r="D762" s="103"/>
    </row>
    <row r="763" spans="4:4" ht="13.2">
      <c r="D763" s="103"/>
    </row>
    <row r="764" spans="4:4" ht="13.2">
      <c r="D764" s="103"/>
    </row>
    <row r="765" spans="4:4" ht="13.2">
      <c r="D765" s="103"/>
    </row>
    <row r="766" spans="4:4" ht="13.2">
      <c r="D766" s="103"/>
    </row>
    <row r="767" spans="4:4" ht="13.2">
      <c r="D767" s="103"/>
    </row>
    <row r="768" spans="4:4" ht="13.2">
      <c r="D768" s="103"/>
    </row>
    <row r="769" spans="4:4" ht="13.2">
      <c r="D769" s="103"/>
    </row>
    <row r="770" spans="4:4" ht="13.2">
      <c r="D770" s="103"/>
    </row>
    <row r="771" spans="4:4" ht="13.2">
      <c r="D771" s="103"/>
    </row>
    <row r="772" spans="4:4" ht="13.2">
      <c r="D772" s="103"/>
    </row>
    <row r="773" spans="4:4" ht="13.2">
      <c r="D773" s="103"/>
    </row>
    <row r="774" spans="4:4" ht="13.2">
      <c r="D774" s="103"/>
    </row>
    <row r="775" spans="4:4" ht="13.2">
      <c r="D775" s="103"/>
    </row>
    <row r="776" spans="4:4" ht="13.2">
      <c r="D776" s="103"/>
    </row>
    <row r="777" spans="4:4" ht="13.2">
      <c r="D777" s="103"/>
    </row>
    <row r="778" spans="4:4" ht="13.2">
      <c r="D778" s="103"/>
    </row>
    <row r="779" spans="4:4" ht="13.2">
      <c r="D779" s="103"/>
    </row>
    <row r="780" spans="4:4" ht="13.2">
      <c r="D780" s="103"/>
    </row>
    <row r="781" spans="4:4" ht="13.2">
      <c r="D781" s="103"/>
    </row>
    <row r="782" spans="4:4" ht="13.2">
      <c r="D782" s="103"/>
    </row>
    <row r="783" spans="4:4" ht="13.2">
      <c r="D783" s="103"/>
    </row>
    <row r="784" spans="4:4" ht="13.2">
      <c r="D784" s="103"/>
    </row>
    <row r="785" spans="4:4" ht="13.2">
      <c r="D785" s="103"/>
    </row>
    <row r="786" spans="4:4" ht="13.2">
      <c r="D786" s="103"/>
    </row>
    <row r="787" spans="4:4" ht="13.2">
      <c r="D787" s="103"/>
    </row>
    <row r="788" spans="4:4" ht="13.2">
      <c r="D788" s="103"/>
    </row>
    <row r="789" spans="4:4" ht="13.2">
      <c r="D789" s="103"/>
    </row>
    <row r="790" spans="4:4" ht="13.2">
      <c r="D790" s="103"/>
    </row>
    <row r="791" spans="4:4" ht="13.2">
      <c r="D791" s="103"/>
    </row>
    <row r="792" spans="4:4" ht="13.2">
      <c r="D792" s="103"/>
    </row>
    <row r="793" spans="4:4" ht="13.2">
      <c r="D793" s="103"/>
    </row>
    <row r="794" spans="4:4" ht="13.2">
      <c r="D794" s="103"/>
    </row>
    <row r="795" spans="4:4" ht="13.2">
      <c r="D795" s="103"/>
    </row>
    <row r="796" spans="4:4" ht="13.2">
      <c r="D796" s="103"/>
    </row>
    <row r="797" spans="4:4" ht="13.2">
      <c r="D797" s="103"/>
    </row>
    <row r="798" spans="4:4" ht="13.2">
      <c r="D798" s="103"/>
    </row>
    <row r="799" spans="4:4" ht="13.2">
      <c r="D799" s="103"/>
    </row>
    <row r="800" spans="4:4" ht="13.2">
      <c r="D800" s="103"/>
    </row>
    <row r="801" spans="4:4" ht="13.2">
      <c r="D801" s="103"/>
    </row>
    <row r="802" spans="4:4" ht="13.2">
      <c r="D802" s="103"/>
    </row>
    <row r="803" spans="4:4" ht="13.2">
      <c r="D803" s="103"/>
    </row>
    <row r="804" spans="4:4" ht="13.2">
      <c r="D804" s="103"/>
    </row>
    <row r="805" spans="4:4" ht="13.2">
      <c r="D805" s="103"/>
    </row>
    <row r="806" spans="4:4" ht="13.2">
      <c r="D806" s="103"/>
    </row>
    <row r="807" spans="4:4" ht="13.2">
      <c r="D807" s="103"/>
    </row>
    <row r="808" spans="4:4" ht="13.2">
      <c r="D808" s="103"/>
    </row>
    <row r="809" spans="4:4" ht="13.2">
      <c r="D809" s="103"/>
    </row>
    <row r="810" spans="4:4" ht="13.2">
      <c r="D810" s="103"/>
    </row>
    <row r="811" spans="4:4" ht="13.2">
      <c r="D811" s="103"/>
    </row>
    <row r="812" spans="4:4" ht="13.2">
      <c r="D812" s="103"/>
    </row>
    <row r="813" spans="4:4" ht="13.2">
      <c r="D813" s="103"/>
    </row>
    <row r="814" spans="4:4" ht="13.2">
      <c r="D814" s="103"/>
    </row>
    <row r="815" spans="4:4" ht="13.2">
      <c r="D815" s="103"/>
    </row>
    <row r="816" spans="4:4" ht="13.2">
      <c r="D816" s="103"/>
    </row>
    <row r="817" spans="4:4" ht="13.2">
      <c r="D817" s="103"/>
    </row>
    <row r="818" spans="4:4" ht="13.2">
      <c r="D818" s="103"/>
    </row>
    <row r="819" spans="4:4" ht="13.2">
      <c r="D819" s="103"/>
    </row>
    <row r="820" spans="4:4" ht="13.2">
      <c r="D820" s="103"/>
    </row>
    <row r="821" spans="4:4" ht="13.2">
      <c r="D821" s="103"/>
    </row>
    <row r="822" spans="4:4" ht="13.2">
      <c r="D822" s="103"/>
    </row>
    <row r="823" spans="4:4" ht="13.2">
      <c r="D823" s="103"/>
    </row>
    <row r="824" spans="4:4" ht="13.2">
      <c r="D824" s="103"/>
    </row>
    <row r="825" spans="4:4" ht="13.2">
      <c r="D825" s="103"/>
    </row>
    <row r="826" spans="4:4" ht="13.2">
      <c r="D826" s="103"/>
    </row>
    <row r="827" spans="4:4" ht="13.2">
      <c r="D827" s="103"/>
    </row>
    <row r="828" spans="4:4" ht="13.2">
      <c r="D828" s="103"/>
    </row>
    <row r="829" spans="4:4" ht="13.2">
      <c r="D829" s="103"/>
    </row>
    <row r="830" spans="4:4" ht="13.2">
      <c r="D830" s="103"/>
    </row>
    <row r="831" spans="4:4" ht="13.2">
      <c r="D831" s="103"/>
    </row>
    <row r="832" spans="4:4" ht="13.2">
      <c r="D832" s="103"/>
    </row>
    <row r="833" spans="4:4" ht="13.2">
      <c r="D833" s="103"/>
    </row>
    <row r="834" spans="4:4" ht="13.2">
      <c r="D834" s="103"/>
    </row>
    <row r="835" spans="4:4" ht="13.2">
      <c r="D835" s="103"/>
    </row>
    <row r="836" spans="4:4" ht="13.2">
      <c r="D836" s="103"/>
    </row>
    <row r="837" spans="4:4" ht="13.2">
      <c r="D837" s="103"/>
    </row>
    <row r="838" spans="4:4" ht="13.2">
      <c r="D838" s="103"/>
    </row>
    <row r="839" spans="4:4" ht="13.2">
      <c r="D839" s="103"/>
    </row>
    <row r="840" spans="4:4" ht="13.2">
      <c r="D840" s="103"/>
    </row>
    <row r="841" spans="4:4" ht="13.2">
      <c r="D841" s="103"/>
    </row>
    <row r="842" spans="4:4" ht="13.2">
      <c r="D842" s="103"/>
    </row>
    <row r="843" spans="4:4" ht="13.2">
      <c r="D843" s="103"/>
    </row>
    <row r="844" spans="4:4" ht="13.2">
      <c r="D844" s="103"/>
    </row>
    <row r="845" spans="4:4" ht="13.2">
      <c r="D845" s="103"/>
    </row>
    <row r="846" spans="4:4" ht="13.2">
      <c r="D846" s="103"/>
    </row>
    <row r="847" spans="4:4" ht="13.2">
      <c r="D847" s="103"/>
    </row>
    <row r="848" spans="4:4" ht="13.2">
      <c r="D848" s="103"/>
    </row>
    <row r="849" spans="4:4" ht="13.2">
      <c r="D849" s="103"/>
    </row>
    <row r="850" spans="4:4" ht="13.2">
      <c r="D850" s="103"/>
    </row>
    <row r="851" spans="4:4" ht="13.2">
      <c r="D851" s="103"/>
    </row>
    <row r="852" spans="4:4" ht="13.2">
      <c r="D852" s="103"/>
    </row>
    <row r="853" spans="4:4" ht="13.2">
      <c r="D853" s="103"/>
    </row>
    <row r="854" spans="4:4" ht="13.2">
      <c r="D854" s="103"/>
    </row>
    <row r="855" spans="4:4" ht="13.2">
      <c r="D855" s="103"/>
    </row>
    <row r="856" spans="4:4" ht="13.2">
      <c r="D856" s="103"/>
    </row>
    <row r="857" spans="4:4" ht="13.2">
      <c r="D857" s="103"/>
    </row>
    <row r="858" spans="4:4" ht="13.2">
      <c r="D858" s="103"/>
    </row>
    <row r="859" spans="4:4" ht="13.2">
      <c r="D859" s="103"/>
    </row>
    <row r="860" spans="4:4" ht="13.2">
      <c r="D860" s="103"/>
    </row>
    <row r="861" spans="4:4" ht="13.2">
      <c r="D861" s="103"/>
    </row>
    <row r="862" spans="4:4" ht="13.2">
      <c r="D862" s="103"/>
    </row>
    <row r="863" spans="4:4" ht="13.2">
      <c r="D863" s="103"/>
    </row>
    <row r="864" spans="4:4" ht="13.2">
      <c r="D864" s="103"/>
    </row>
    <row r="865" spans="4:4" ht="13.2">
      <c r="D865" s="103"/>
    </row>
    <row r="866" spans="4:4" ht="13.2">
      <c r="D866" s="103"/>
    </row>
    <row r="867" spans="4:4" ht="13.2">
      <c r="D867" s="103"/>
    </row>
    <row r="868" spans="4:4" ht="13.2">
      <c r="D868" s="103"/>
    </row>
    <row r="869" spans="4:4" ht="13.2">
      <c r="D869" s="103"/>
    </row>
    <row r="870" spans="4:4" ht="13.2">
      <c r="D870" s="103"/>
    </row>
    <row r="871" spans="4:4" ht="13.2">
      <c r="D871" s="103"/>
    </row>
    <row r="872" spans="4:4" ht="13.2">
      <c r="D872" s="103"/>
    </row>
    <row r="873" spans="4:4" ht="13.2">
      <c r="D873" s="103"/>
    </row>
    <row r="874" spans="4:4" ht="13.2">
      <c r="D874" s="103"/>
    </row>
    <row r="875" spans="4:4" ht="13.2">
      <c r="D875" s="103"/>
    </row>
    <row r="876" spans="4:4" ht="13.2">
      <c r="D876" s="103"/>
    </row>
    <row r="877" spans="4:4" ht="13.2">
      <c r="D877" s="103"/>
    </row>
    <row r="878" spans="4:4" ht="13.2">
      <c r="D878" s="103"/>
    </row>
    <row r="879" spans="4:4" ht="13.2">
      <c r="D879" s="103"/>
    </row>
    <row r="880" spans="4:4" ht="13.2">
      <c r="D880" s="103"/>
    </row>
    <row r="881" spans="4:4" ht="13.2">
      <c r="D881" s="103"/>
    </row>
    <row r="882" spans="4:4" ht="13.2">
      <c r="D882" s="103"/>
    </row>
    <row r="883" spans="4:4" ht="13.2">
      <c r="D883" s="103"/>
    </row>
    <row r="884" spans="4:4" ht="13.2">
      <c r="D884" s="103"/>
    </row>
    <row r="885" spans="4:4" ht="13.2">
      <c r="D885" s="103"/>
    </row>
    <row r="886" spans="4:4" ht="13.2">
      <c r="D886" s="103"/>
    </row>
    <row r="887" spans="4:4" ht="13.2">
      <c r="D887" s="103"/>
    </row>
    <row r="888" spans="4:4" ht="13.2">
      <c r="D888" s="103"/>
    </row>
    <row r="889" spans="4:4" ht="13.2">
      <c r="D889" s="103"/>
    </row>
    <row r="890" spans="4:4" ht="13.2">
      <c r="D890" s="103"/>
    </row>
    <row r="891" spans="4:4" ht="13.2">
      <c r="D891" s="103"/>
    </row>
    <row r="892" spans="4:4" ht="13.2">
      <c r="D892" s="103"/>
    </row>
    <row r="893" spans="4:4" ht="13.2">
      <c r="D893" s="103"/>
    </row>
    <row r="894" spans="4:4" ht="13.2">
      <c r="D894" s="103"/>
    </row>
    <row r="895" spans="4:4" ht="13.2">
      <c r="D895" s="103"/>
    </row>
    <row r="896" spans="4:4" ht="13.2">
      <c r="D896" s="103"/>
    </row>
    <row r="897" spans="4:4" ht="13.2">
      <c r="D897" s="103"/>
    </row>
    <row r="898" spans="4:4" ht="13.2">
      <c r="D898" s="103"/>
    </row>
    <row r="899" spans="4:4" ht="13.2">
      <c r="D899" s="103"/>
    </row>
    <row r="900" spans="4:4" ht="13.2">
      <c r="D900" s="103"/>
    </row>
    <row r="901" spans="4:4" ht="13.2">
      <c r="D901" s="103"/>
    </row>
    <row r="902" spans="4:4" ht="13.2">
      <c r="D902" s="103"/>
    </row>
    <row r="903" spans="4:4" ht="13.2">
      <c r="D903" s="103"/>
    </row>
    <row r="904" spans="4:4" ht="13.2">
      <c r="D904" s="103"/>
    </row>
    <row r="905" spans="4:4" ht="13.2">
      <c r="D905" s="103"/>
    </row>
    <row r="906" spans="4:4" ht="13.2">
      <c r="D906" s="103"/>
    </row>
    <row r="907" spans="4:4" ht="13.2">
      <c r="D907" s="103"/>
    </row>
    <row r="908" spans="4:4" ht="13.2">
      <c r="D908" s="103"/>
    </row>
    <row r="909" spans="4:4" ht="13.2">
      <c r="D909" s="103"/>
    </row>
    <row r="910" spans="4:4" ht="13.2">
      <c r="D910" s="103"/>
    </row>
    <row r="911" spans="4:4" ht="13.2">
      <c r="D911" s="103"/>
    </row>
    <row r="912" spans="4:4" ht="13.2">
      <c r="D912" s="103"/>
    </row>
    <row r="913" spans="4:4" ht="13.2">
      <c r="D913" s="103"/>
    </row>
    <row r="914" spans="4:4" ht="13.2">
      <c r="D914" s="103"/>
    </row>
    <row r="915" spans="4:4" ht="13.2">
      <c r="D915" s="103"/>
    </row>
    <row r="916" spans="4:4" ht="13.2">
      <c r="D916" s="103"/>
    </row>
    <row r="917" spans="4:4" ht="13.2">
      <c r="D917" s="103"/>
    </row>
    <row r="918" spans="4:4" ht="13.2">
      <c r="D918" s="103"/>
    </row>
    <row r="919" spans="4:4" ht="13.2">
      <c r="D919" s="103"/>
    </row>
    <row r="920" spans="4:4" ht="13.2">
      <c r="D920" s="103"/>
    </row>
    <row r="921" spans="4:4" ht="13.2">
      <c r="D921" s="103"/>
    </row>
    <row r="922" spans="4:4" ht="13.2">
      <c r="D922" s="103"/>
    </row>
    <row r="923" spans="4:4" ht="13.2">
      <c r="D923" s="103"/>
    </row>
    <row r="924" spans="4:4" ht="13.2">
      <c r="D924" s="103"/>
    </row>
    <row r="925" spans="4:4" ht="13.2">
      <c r="D925" s="103"/>
    </row>
    <row r="926" spans="4:4" ht="13.2">
      <c r="D926" s="103"/>
    </row>
    <row r="927" spans="4:4" ht="13.2">
      <c r="D927" s="103"/>
    </row>
    <row r="928" spans="4:4" ht="13.2">
      <c r="D928" s="103"/>
    </row>
    <row r="929" spans="4:4" ht="13.2">
      <c r="D929" s="103"/>
    </row>
    <row r="930" spans="4:4" ht="13.2">
      <c r="D930" s="103"/>
    </row>
    <row r="931" spans="4:4" ht="13.2">
      <c r="D931" s="103"/>
    </row>
    <row r="932" spans="4:4" ht="13.2">
      <c r="D932" s="103"/>
    </row>
    <row r="933" spans="4:4" ht="13.2">
      <c r="D933" s="103"/>
    </row>
    <row r="934" spans="4:4" ht="13.2">
      <c r="D934" s="103"/>
    </row>
    <row r="935" spans="4:4" ht="13.2">
      <c r="D935" s="103"/>
    </row>
    <row r="936" spans="4:4" ht="13.2">
      <c r="D936" s="103"/>
    </row>
    <row r="937" spans="4:4" ht="13.2">
      <c r="D937" s="103"/>
    </row>
    <row r="938" spans="4:4" ht="13.2">
      <c r="D938" s="103"/>
    </row>
    <row r="939" spans="4:4" ht="13.2">
      <c r="D939" s="103"/>
    </row>
    <row r="940" spans="4:4" ht="13.2">
      <c r="D940" s="103"/>
    </row>
    <row r="941" spans="4:4" ht="13.2">
      <c r="D941" s="103"/>
    </row>
    <row r="942" spans="4:4" ht="13.2">
      <c r="D942" s="103"/>
    </row>
    <row r="943" spans="4:4" ht="13.2">
      <c r="D943" s="103"/>
    </row>
    <row r="944" spans="4:4" ht="13.2">
      <c r="D944" s="103"/>
    </row>
    <row r="945" spans="4:4" ht="13.2">
      <c r="D945" s="103"/>
    </row>
    <row r="946" spans="4:4" ht="13.2">
      <c r="D946" s="103"/>
    </row>
    <row r="947" spans="4:4" ht="13.2">
      <c r="D947" s="103"/>
    </row>
    <row r="948" spans="4:4" ht="13.2">
      <c r="D948" s="103"/>
    </row>
    <row r="949" spans="4:4" ht="13.2">
      <c r="D949" s="103"/>
    </row>
    <row r="950" spans="4:4" ht="13.2">
      <c r="D950" s="103"/>
    </row>
    <row r="951" spans="4:4" ht="13.2">
      <c r="D951" s="103"/>
    </row>
    <row r="952" spans="4:4" ht="13.2">
      <c r="D952" s="103"/>
    </row>
    <row r="953" spans="4:4" ht="13.2">
      <c r="D953" s="103"/>
    </row>
    <row r="954" spans="4:4" ht="13.2">
      <c r="D954" s="103"/>
    </row>
    <row r="955" spans="4:4" ht="13.2">
      <c r="D955" s="103"/>
    </row>
    <row r="956" spans="4:4" ht="13.2">
      <c r="D956" s="103"/>
    </row>
    <row r="957" spans="4:4" ht="13.2">
      <c r="D957" s="103"/>
    </row>
    <row r="958" spans="4:4" ht="13.2">
      <c r="D958" s="103"/>
    </row>
    <row r="959" spans="4:4" ht="13.2">
      <c r="D959" s="103"/>
    </row>
    <row r="960" spans="4:4" ht="13.2">
      <c r="D960" s="103"/>
    </row>
    <row r="961" spans="4:4" ht="13.2">
      <c r="D961" s="103"/>
    </row>
    <row r="962" spans="4:4" ht="13.2">
      <c r="D962" s="103"/>
    </row>
    <row r="963" spans="4:4" ht="13.2">
      <c r="D963" s="103"/>
    </row>
    <row r="964" spans="4:4" ht="13.2">
      <c r="D964" s="103"/>
    </row>
    <row r="965" spans="4:4" ht="13.2">
      <c r="D965" s="103"/>
    </row>
    <row r="966" spans="4:4" ht="13.2">
      <c r="D966" s="103"/>
    </row>
    <row r="967" spans="4:4" ht="13.2">
      <c r="D967" s="103"/>
    </row>
    <row r="968" spans="4:4" ht="13.2">
      <c r="D968" s="103"/>
    </row>
    <row r="969" spans="4:4" ht="13.2">
      <c r="D969" s="103"/>
    </row>
    <row r="970" spans="4:4" ht="13.2">
      <c r="D970" s="103"/>
    </row>
    <row r="971" spans="4:4" ht="13.2">
      <c r="D971" s="103"/>
    </row>
    <row r="972" spans="4:4" ht="13.2">
      <c r="D972" s="103"/>
    </row>
    <row r="973" spans="4:4" ht="13.2">
      <c r="D973" s="103"/>
    </row>
    <row r="974" spans="4:4" ht="13.2">
      <c r="D974" s="103"/>
    </row>
    <row r="975" spans="4:4" ht="13.2">
      <c r="D975" s="103"/>
    </row>
    <row r="976" spans="4:4" ht="13.2">
      <c r="D976" s="103"/>
    </row>
    <row r="977" spans="4:4" ht="13.2">
      <c r="D977" s="103"/>
    </row>
    <row r="978" spans="4:4" ht="13.2">
      <c r="D978" s="103"/>
    </row>
    <row r="979" spans="4:4" ht="13.2">
      <c r="D979" s="103"/>
    </row>
    <row r="980" spans="4:4" ht="13.2">
      <c r="D980" s="103"/>
    </row>
    <row r="981" spans="4:4" ht="13.2">
      <c r="D981" s="103"/>
    </row>
    <row r="982" spans="4:4" ht="13.2">
      <c r="D982" s="103"/>
    </row>
    <row r="983" spans="4:4" ht="13.2">
      <c r="D983" s="103"/>
    </row>
    <row r="984" spans="4:4" ht="13.2">
      <c r="D984" s="103"/>
    </row>
    <row r="985" spans="4:4" ht="13.2">
      <c r="D985" s="103"/>
    </row>
    <row r="986" spans="4:4" ht="13.2">
      <c r="D986" s="103"/>
    </row>
    <row r="987" spans="4:4" ht="13.2">
      <c r="D987" s="103"/>
    </row>
    <row r="988" spans="4:4" ht="13.2">
      <c r="D988" s="103"/>
    </row>
    <row r="989" spans="4:4" ht="13.2">
      <c r="D989" s="103"/>
    </row>
    <row r="990" spans="4:4" ht="13.2">
      <c r="D990" s="103"/>
    </row>
    <row r="991" spans="4:4" ht="13.2">
      <c r="D991" s="103"/>
    </row>
    <row r="992" spans="4:4" ht="13.2">
      <c r="D992" s="103"/>
    </row>
    <row r="993" spans="4:4" ht="13.2">
      <c r="D993" s="103"/>
    </row>
    <row r="994" spans="4:4" ht="13.2">
      <c r="D994" s="103"/>
    </row>
    <row r="995" spans="4:4" ht="13.2">
      <c r="D995" s="103"/>
    </row>
    <row r="996" spans="4:4" ht="13.2">
      <c r="D996" s="103"/>
    </row>
    <row r="997" spans="4:4" ht="13.2">
      <c r="D997" s="103"/>
    </row>
    <row r="998" spans="4:4" ht="13.2">
      <c r="D998" s="103"/>
    </row>
    <row r="999" spans="4:4" ht="13.2">
      <c r="D999" s="103"/>
    </row>
    <row r="1000" spans="4:4" ht="13.2">
      <c r="D1000" s="103"/>
    </row>
    <row r="1001" spans="4:4" ht="13.2">
      <c r="D1001" s="103"/>
    </row>
    <row r="1002" spans="4:4" ht="13.2">
      <c r="D1002" s="103"/>
    </row>
    <row r="1003" spans="4:4" ht="13.2">
      <c r="D1003" s="103"/>
    </row>
    <row r="1004" spans="4:4" ht="13.2">
      <c r="D1004" s="103"/>
    </row>
    <row r="1005" spans="4:4" ht="13.2">
      <c r="D1005" s="103"/>
    </row>
    <row r="1006" spans="4:4" ht="13.2">
      <c r="D1006" s="103"/>
    </row>
    <row r="1007" spans="4:4" ht="13.2">
      <c r="D1007" s="103"/>
    </row>
  </sheetData>
  <mergeCells count="4">
    <mergeCell ref="A2:A14"/>
    <mergeCell ref="A15:A18"/>
    <mergeCell ref="A19:A23"/>
    <mergeCell ref="A27:A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29"/>
  <sheetViews>
    <sheetView workbookViewId="0"/>
  </sheetViews>
  <sheetFormatPr defaultColWidth="12.6640625" defaultRowHeight="15.75" customHeight="1"/>
  <sheetData>
    <row r="1" spans="1:26" ht="15.75" customHeight="1">
      <c r="A1" s="110" t="s">
        <v>282</v>
      </c>
      <c r="B1" s="111"/>
      <c r="C1" s="111"/>
      <c r="D1" s="111"/>
      <c r="E1" s="112" t="s">
        <v>283</v>
      </c>
      <c r="F1" s="111"/>
      <c r="G1" s="111"/>
      <c r="H1" s="113">
        <f>F110</f>
        <v>0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>
      <c r="A2" s="114"/>
      <c r="B2" s="115"/>
      <c r="C2" s="115"/>
      <c r="D2" s="115"/>
      <c r="E2" s="116" t="s">
        <v>284</v>
      </c>
      <c r="F2" s="115"/>
      <c r="G2" s="115"/>
      <c r="H2" s="117">
        <f>F110-H110</f>
        <v>0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>
      <c r="A3" s="118" t="s">
        <v>285</v>
      </c>
      <c r="B3" s="119" t="s">
        <v>286</v>
      </c>
      <c r="C3" s="119" t="s">
        <v>287</v>
      </c>
      <c r="D3" s="119" t="s">
        <v>189</v>
      </c>
      <c r="E3" s="119" t="s">
        <v>288</v>
      </c>
      <c r="F3" s="119" t="s">
        <v>289</v>
      </c>
      <c r="G3" s="217" t="s">
        <v>290</v>
      </c>
      <c r="H3" s="218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>
      <c r="A4" s="219" t="s">
        <v>264</v>
      </c>
      <c r="B4" s="120"/>
      <c r="C4" s="120"/>
      <c r="D4" s="120"/>
      <c r="E4" s="120"/>
      <c r="F4" s="121">
        <f t="shared" ref="F4:F108" si="0">C4*E4</f>
        <v>0</v>
      </c>
      <c r="G4" s="122">
        <v>0</v>
      </c>
      <c r="H4" s="123">
        <f t="shared" ref="H4:H7" si="1">G4*C4</f>
        <v>0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>
      <c r="A5" s="220"/>
      <c r="B5" s="124"/>
      <c r="C5" s="124"/>
      <c r="D5" s="124"/>
      <c r="E5" s="124"/>
      <c r="F5" s="121">
        <f t="shared" si="0"/>
        <v>0</v>
      </c>
      <c r="G5" s="121">
        <v>0</v>
      </c>
      <c r="H5" s="125">
        <f t="shared" si="1"/>
        <v>0</v>
      </c>
      <c r="I5" s="1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>
      <c r="A6" s="220"/>
      <c r="B6" s="124"/>
      <c r="C6" s="124"/>
      <c r="D6" s="124"/>
      <c r="E6" s="124"/>
      <c r="F6" s="121">
        <f t="shared" si="0"/>
        <v>0</v>
      </c>
      <c r="G6" s="121">
        <v>0</v>
      </c>
      <c r="H6" s="125">
        <f t="shared" si="1"/>
        <v>0</v>
      </c>
      <c r="I6" s="1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>
      <c r="A7" s="220"/>
      <c r="B7" s="124"/>
      <c r="C7" s="124"/>
      <c r="D7" s="124"/>
      <c r="E7" s="124"/>
      <c r="F7" s="121">
        <f t="shared" si="0"/>
        <v>0</v>
      </c>
      <c r="G7" s="121">
        <v>0</v>
      </c>
      <c r="H7" s="125">
        <f t="shared" si="1"/>
        <v>0</v>
      </c>
      <c r="I7" s="1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>
      <c r="A8" s="220"/>
      <c r="B8" s="124"/>
      <c r="C8" s="124"/>
      <c r="D8" s="124"/>
      <c r="E8" s="124"/>
      <c r="F8" s="121">
        <f t="shared" si="0"/>
        <v>0</v>
      </c>
      <c r="G8" s="121">
        <v>0</v>
      </c>
      <c r="H8" s="125">
        <v>0</v>
      </c>
      <c r="I8" s="1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>
      <c r="A9" s="220"/>
      <c r="B9" s="124"/>
      <c r="C9" s="124"/>
      <c r="D9" s="124"/>
      <c r="E9" s="124"/>
      <c r="F9" s="121">
        <f t="shared" si="0"/>
        <v>0</v>
      </c>
      <c r="G9" s="121">
        <v>0</v>
      </c>
      <c r="H9" s="125">
        <f t="shared" ref="H9:H51" si="2">G9*C9</f>
        <v>0</v>
      </c>
      <c r="I9" s="1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>
      <c r="A10" s="220"/>
      <c r="B10" s="124"/>
      <c r="C10" s="124"/>
      <c r="D10" s="124"/>
      <c r="E10" s="124"/>
      <c r="F10" s="121">
        <f t="shared" si="0"/>
        <v>0</v>
      </c>
      <c r="G10" s="121">
        <v>0</v>
      </c>
      <c r="H10" s="125">
        <f t="shared" si="2"/>
        <v>0</v>
      </c>
      <c r="I10" s="1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>
      <c r="A11" s="221"/>
      <c r="B11" s="127"/>
      <c r="C11" s="127"/>
      <c r="D11" s="127"/>
      <c r="E11" s="127"/>
      <c r="F11" s="128">
        <f t="shared" si="0"/>
        <v>0</v>
      </c>
      <c r="G11" s="128">
        <v>0</v>
      </c>
      <c r="H11" s="129">
        <f t="shared" si="2"/>
        <v>0</v>
      </c>
      <c r="I11" s="1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>
      <c r="A12" s="222" t="s">
        <v>291</v>
      </c>
      <c r="B12" s="130"/>
      <c r="C12" s="130"/>
      <c r="D12" s="130"/>
      <c r="E12" s="130"/>
      <c r="F12" s="131">
        <f t="shared" si="0"/>
        <v>0</v>
      </c>
      <c r="G12" s="132">
        <v>0</v>
      </c>
      <c r="H12" s="133">
        <f t="shared" si="2"/>
        <v>0</v>
      </c>
      <c r="I12" s="1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>
      <c r="A13" s="220"/>
      <c r="B13" s="134"/>
      <c r="C13" s="134"/>
      <c r="D13" s="134"/>
      <c r="E13" s="134"/>
      <c r="F13" s="131">
        <f t="shared" si="0"/>
        <v>0</v>
      </c>
      <c r="G13" s="131">
        <v>0</v>
      </c>
      <c r="H13" s="135">
        <f t="shared" si="2"/>
        <v>0</v>
      </c>
      <c r="I13" s="1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>
      <c r="A14" s="220"/>
      <c r="B14" s="134"/>
      <c r="C14" s="134"/>
      <c r="D14" s="134"/>
      <c r="E14" s="134"/>
      <c r="F14" s="131">
        <f t="shared" si="0"/>
        <v>0</v>
      </c>
      <c r="G14" s="131">
        <v>0</v>
      </c>
      <c r="H14" s="135">
        <f t="shared" si="2"/>
        <v>0</v>
      </c>
      <c r="I14" s="1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>
      <c r="A15" s="220"/>
      <c r="B15" s="134"/>
      <c r="C15" s="134"/>
      <c r="D15" s="134"/>
      <c r="E15" s="134"/>
      <c r="F15" s="131">
        <f t="shared" si="0"/>
        <v>0</v>
      </c>
      <c r="G15" s="131">
        <v>0</v>
      </c>
      <c r="H15" s="135">
        <f t="shared" si="2"/>
        <v>0</v>
      </c>
      <c r="I15" s="1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>
      <c r="A16" s="220"/>
      <c r="B16" s="134"/>
      <c r="C16" s="134"/>
      <c r="D16" s="134"/>
      <c r="E16" s="134"/>
      <c r="F16" s="131">
        <f t="shared" si="0"/>
        <v>0</v>
      </c>
      <c r="G16" s="131">
        <v>0</v>
      </c>
      <c r="H16" s="135">
        <f t="shared" si="2"/>
        <v>0</v>
      </c>
      <c r="I16" s="1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>
      <c r="A17" s="220"/>
      <c r="B17" s="134"/>
      <c r="C17" s="134"/>
      <c r="D17" s="134"/>
      <c r="E17" s="134"/>
      <c r="F17" s="131">
        <f t="shared" si="0"/>
        <v>0</v>
      </c>
      <c r="G17" s="131">
        <v>0</v>
      </c>
      <c r="H17" s="135">
        <f t="shared" si="2"/>
        <v>0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>
      <c r="A18" s="220"/>
      <c r="B18" s="134"/>
      <c r="C18" s="134"/>
      <c r="D18" s="134"/>
      <c r="E18" s="134"/>
      <c r="F18" s="131">
        <f t="shared" si="0"/>
        <v>0</v>
      </c>
      <c r="G18" s="131">
        <v>0</v>
      </c>
      <c r="H18" s="135">
        <f t="shared" si="2"/>
        <v>0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>
      <c r="A19" s="221"/>
      <c r="B19" s="136"/>
      <c r="C19" s="136"/>
      <c r="D19" s="136"/>
      <c r="E19" s="136"/>
      <c r="F19" s="137">
        <f t="shared" si="0"/>
        <v>0</v>
      </c>
      <c r="G19" s="137">
        <v>0</v>
      </c>
      <c r="H19" s="138">
        <f t="shared" si="2"/>
        <v>0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>
      <c r="A20" s="223" t="s">
        <v>292</v>
      </c>
      <c r="B20" s="139"/>
      <c r="C20" s="139"/>
      <c r="D20" s="139"/>
      <c r="E20" s="139"/>
      <c r="F20" s="140">
        <f t="shared" si="0"/>
        <v>0</v>
      </c>
      <c r="G20" s="141">
        <v>0</v>
      </c>
      <c r="H20" s="142">
        <f t="shared" si="2"/>
        <v>0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>
      <c r="A21" s="220"/>
      <c r="B21" s="143"/>
      <c r="C21" s="143"/>
      <c r="D21" s="143"/>
      <c r="E21" s="143"/>
      <c r="F21" s="140">
        <f t="shared" si="0"/>
        <v>0</v>
      </c>
      <c r="G21" s="140">
        <v>0</v>
      </c>
      <c r="H21" s="144">
        <f t="shared" si="2"/>
        <v>0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>
      <c r="A22" s="220"/>
      <c r="B22" s="143"/>
      <c r="C22" s="143"/>
      <c r="D22" s="143"/>
      <c r="E22" s="143"/>
      <c r="F22" s="140">
        <f t="shared" si="0"/>
        <v>0</v>
      </c>
      <c r="G22" s="140">
        <v>0</v>
      </c>
      <c r="H22" s="144">
        <f t="shared" si="2"/>
        <v>0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>
      <c r="A23" s="220"/>
      <c r="B23" s="143"/>
      <c r="C23" s="143"/>
      <c r="D23" s="143"/>
      <c r="E23" s="143"/>
      <c r="F23" s="140">
        <f t="shared" si="0"/>
        <v>0</v>
      </c>
      <c r="G23" s="140">
        <v>0</v>
      </c>
      <c r="H23" s="144">
        <f t="shared" si="2"/>
        <v>0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>
      <c r="A24" s="220"/>
      <c r="B24" s="143"/>
      <c r="C24" s="143"/>
      <c r="D24" s="143"/>
      <c r="E24" s="143"/>
      <c r="F24" s="140">
        <f t="shared" si="0"/>
        <v>0</v>
      </c>
      <c r="G24" s="140">
        <v>0</v>
      </c>
      <c r="H24" s="144">
        <f t="shared" si="2"/>
        <v>0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>
      <c r="A25" s="220"/>
      <c r="B25" s="143"/>
      <c r="C25" s="143"/>
      <c r="D25" s="143"/>
      <c r="E25" s="143"/>
      <c r="F25" s="140">
        <f t="shared" si="0"/>
        <v>0</v>
      </c>
      <c r="G25" s="140">
        <v>0</v>
      </c>
      <c r="H25" s="144">
        <f t="shared" si="2"/>
        <v>0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>
      <c r="A26" s="220"/>
      <c r="B26" s="143"/>
      <c r="C26" s="143"/>
      <c r="D26" s="143"/>
      <c r="E26" s="143"/>
      <c r="F26" s="140">
        <f t="shared" si="0"/>
        <v>0</v>
      </c>
      <c r="G26" s="140">
        <v>0</v>
      </c>
      <c r="H26" s="144">
        <f t="shared" si="2"/>
        <v>0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>
      <c r="A27" s="220"/>
      <c r="B27" s="143"/>
      <c r="C27" s="143"/>
      <c r="D27" s="143"/>
      <c r="E27" s="143"/>
      <c r="F27" s="140">
        <f t="shared" si="0"/>
        <v>0</v>
      </c>
      <c r="G27" s="140">
        <v>0</v>
      </c>
      <c r="H27" s="144">
        <f t="shared" si="2"/>
        <v>0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2">
      <c r="A28" s="220"/>
      <c r="B28" s="143"/>
      <c r="C28" s="143"/>
      <c r="D28" s="143"/>
      <c r="E28" s="143"/>
      <c r="F28" s="140">
        <f t="shared" si="0"/>
        <v>0</v>
      </c>
      <c r="G28" s="140">
        <v>0</v>
      </c>
      <c r="H28" s="144">
        <f t="shared" si="2"/>
        <v>0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2">
      <c r="A29" s="220"/>
      <c r="B29" s="143"/>
      <c r="C29" s="143"/>
      <c r="D29" s="143"/>
      <c r="E29" s="143"/>
      <c r="F29" s="140">
        <f t="shared" si="0"/>
        <v>0</v>
      </c>
      <c r="G29" s="140">
        <v>0</v>
      </c>
      <c r="H29" s="144">
        <f t="shared" si="2"/>
        <v>0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3.2">
      <c r="A30" s="220"/>
      <c r="B30" s="143"/>
      <c r="C30" s="143"/>
      <c r="D30" s="143"/>
      <c r="E30" s="143"/>
      <c r="F30" s="140">
        <f t="shared" si="0"/>
        <v>0</v>
      </c>
      <c r="G30" s="140">
        <v>0</v>
      </c>
      <c r="H30" s="144">
        <f t="shared" si="2"/>
        <v>0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3.2">
      <c r="A31" s="220"/>
      <c r="B31" s="143"/>
      <c r="C31" s="143"/>
      <c r="D31" s="143"/>
      <c r="E31" s="143"/>
      <c r="F31" s="140">
        <f t="shared" si="0"/>
        <v>0</v>
      </c>
      <c r="G31" s="140">
        <v>0</v>
      </c>
      <c r="H31" s="144">
        <f t="shared" si="2"/>
        <v>0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3.2">
      <c r="A32" s="220"/>
      <c r="B32" s="143"/>
      <c r="C32" s="143"/>
      <c r="D32" s="143"/>
      <c r="E32" s="143"/>
      <c r="F32" s="140">
        <f t="shared" si="0"/>
        <v>0</v>
      </c>
      <c r="G32" s="140">
        <v>0</v>
      </c>
      <c r="H32" s="144">
        <f t="shared" si="2"/>
        <v>0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3.2">
      <c r="A33" s="220"/>
      <c r="B33" s="143"/>
      <c r="C33" s="143"/>
      <c r="D33" s="143"/>
      <c r="E33" s="143"/>
      <c r="F33" s="140">
        <f t="shared" si="0"/>
        <v>0</v>
      </c>
      <c r="G33" s="140">
        <v>0</v>
      </c>
      <c r="H33" s="144">
        <f t="shared" si="2"/>
        <v>0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3.2">
      <c r="A34" s="220"/>
      <c r="B34" s="143"/>
      <c r="C34" s="143"/>
      <c r="D34" s="143"/>
      <c r="E34" s="143"/>
      <c r="F34" s="140">
        <f t="shared" si="0"/>
        <v>0</v>
      </c>
      <c r="G34" s="140">
        <v>0</v>
      </c>
      <c r="H34" s="144">
        <f t="shared" si="2"/>
        <v>0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3.2">
      <c r="A35" s="220"/>
      <c r="B35" s="143"/>
      <c r="C35" s="143"/>
      <c r="D35" s="143"/>
      <c r="E35" s="143"/>
      <c r="F35" s="140">
        <f t="shared" si="0"/>
        <v>0</v>
      </c>
      <c r="G35" s="140">
        <v>0</v>
      </c>
      <c r="H35" s="144">
        <f t="shared" si="2"/>
        <v>0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3.2">
      <c r="A36" s="220"/>
      <c r="B36" s="143"/>
      <c r="C36" s="143"/>
      <c r="D36" s="143"/>
      <c r="E36" s="143"/>
      <c r="F36" s="140">
        <f t="shared" si="0"/>
        <v>0</v>
      </c>
      <c r="G36" s="140">
        <v>0</v>
      </c>
      <c r="H36" s="144">
        <f t="shared" si="2"/>
        <v>0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3.2">
      <c r="A37" s="220"/>
      <c r="B37" s="143"/>
      <c r="C37" s="143"/>
      <c r="D37" s="143"/>
      <c r="E37" s="143"/>
      <c r="F37" s="140">
        <f t="shared" si="0"/>
        <v>0</v>
      </c>
      <c r="G37" s="140">
        <v>0</v>
      </c>
      <c r="H37" s="144">
        <f t="shared" si="2"/>
        <v>0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3.2">
      <c r="A38" s="221"/>
      <c r="B38" s="145"/>
      <c r="C38" s="145"/>
      <c r="D38" s="145"/>
      <c r="E38" s="145"/>
      <c r="F38" s="146">
        <f t="shared" si="0"/>
        <v>0</v>
      </c>
      <c r="G38" s="146">
        <v>0</v>
      </c>
      <c r="H38" s="147">
        <f t="shared" si="2"/>
        <v>0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3.2">
      <c r="A39" s="224" t="s">
        <v>293</v>
      </c>
      <c r="B39" s="148"/>
      <c r="C39" s="148"/>
      <c r="D39" s="148"/>
      <c r="E39" s="148"/>
      <c r="F39" s="149">
        <f t="shared" si="0"/>
        <v>0</v>
      </c>
      <c r="G39" s="150">
        <v>0</v>
      </c>
      <c r="H39" s="151">
        <f t="shared" si="2"/>
        <v>0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3.2">
      <c r="A40" s="220"/>
      <c r="B40" s="152"/>
      <c r="C40" s="152"/>
      <c r="D40" s="152"/>
      <c r="E40" s="152"/>
      <c r="F40" s="149">
        <f t="shared" si="0"/>
        <v>0</v>
      </c>
      <c r="G40" s="149">
        <v>0</v>
      </c>
      <c r="H40" s="153">
        <f t="shared" si="2"/>
        <v>0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3.2">
      <c r="A41" s="220"/>
      <c r="B41" s="152"/>
      <c r="C41" s="152"/>
      <c r="D41" s="152"/>
      <c r="E41" s="152"/>
      <c r="F41" s="149">
        <f t="shared" si="0"/>
        <v>0</v>
      </c>
      <c r="G41" s="149">
        <v>0</v>
      </c>
      <c r="H41" s="153">
        <f t="shared" si="2"/>
        <v>0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3.2">
      <c r="A42" s="220"/>
      <c r="B42" s="152"/>
      <c r="C42" s="152"/>
      <c r="D42" s="152"/>
      <c r="E42" s="152"/>
      <c r="F42" s="149">
        <f t="shared" si="0"/>
        <v>0</v>
      </c>
      <c r="G42" s="149">
        <v>0</v>
      </c>
      <c r="H42" s="153">
        <f t="shared" si="2"/>
        <v>0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3.2">
      <c r="A43" s="220"/>
      <c r="B43" s="152"/>
      <c r="C43" s="152"/>
      <c r="D43" s="152"/>
      <c r="E43" s="152"/>
      <c r="F43" s="149">
        <f t="shared" si="0"/>
        <v>0</v>
      </c>
      <c r="G43" s="149">
        <v>0</v>
      </c>
      <c r="H43" s="153">
        <f t="shared" si="2"/>
        <v>0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3.2">
      <c r="A44" s="220"/>
      <c r="B44" s="152"/>
      <c r="C44" s="152"/>
      <c r="D44" s="152"/>
      <c r="E44" s="152"/>
      <c r="F44" s="149">
        <f t="shared" si="0"/>
        <v>0</v>
      </c>
      <c r="G44" s="149">
        <v>0</v>
      </c>
      <c r="H44" s="153">
        <f t="shared" si="2"/>
        <v>0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3.2">
      <c r="A45" s="220"/>
      <c r="B45" s="152"/>
      <c r="C45" s="152"/>
      <c r="D45" s="152"/>
      <c r="E45" s="152"/>
      <c r="F45" s="149">
        <f t="shared" si="0"/>
        <v>0</v>
      </c>
      <c r="G45" s="149">
        <v>0</v>
      </c>
      <c r="H45" s="153">
        <f t="shared" si="2"/>
        <v>0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3.2">
      <c r="A46" s="220"/>
      <c r="B46" s="152"/>
      <c r="C46" s="152"/>
      <c r="D46" s="152"/>
      <c r="E46" s="152"/>
      <c r="F46" s="149">
        <f t="shared" si="0"/>
        <v>0</v>
      </c>
      <c r="G46" s="149">
        <v>0</v>
      </c>
      <c r="H46" s="153">
        <f t="shared" si="2"/>
        <v>0</v>
      </c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3.2">
      <c r="A47" s="220"/>
      <c r="B47" s="152"/>
      <c r="C47" s="152"/>
      <c r="D47" s="152"/>
      <c r="E47" s="152"/>
      <c r="F47" s="149">
        <f t="shared" si="0"/>
        <v>0</v>
      </c>
      <c r="G47" s="149">
        <v>0</v>
      </c>
      <c r="H47" s="153">
        <f t="shared" si="2"/>
        <v>0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3.2">
      <c r="A48" s="220"/>
      <c r="B48" s="152"/>
      <c r="C48" s="152"/>
      <c r="D48" s="152"/>
      <c r="E48" s="152"/>
      <c r="F48" s="149">
        <f t="shared" si="0"/>
        <v>0</v>
      </c>
      <c r="G48" s="149">
        <v>0</v>
      </c>
      <c r="H48" s="153">
        <f t="shared" si="2"/>
        <v>0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3.2">
      <c r="A49" s="220"/>
      <c r="B49" s="152"/>
      <c r="C49" s="152"/>
      <c r="D49" s="152"/>
      <c r="E49" s="152"/>
      <c r="F49" s="149">
        <f t="shared" si="0"/>
        <v>0</v>
      </c>
      <c r="G49" s="149">
        <v>0</v>
      </c>
      <c r="H49" s="153">
        <f t="shared" si="2"/>
        <v>0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3.2">
      <c r="A50" s="220"/>
      <c r="B50" s="152"/>
      <c r="C50" s="152"/>
      <c r="D50" s="152"/>
      <c r="E50" s="152"/>
      <c r="F50" s="149">
        <f t="shared" si="0"/>
        <v>0</v>
      </c>
      <c r="G50" s="149">
        <v>0</v>
      </c>
      <c r="H50" s="153">
        <f t="shared" si="2"/>
        <v>0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3.2">
      <c r="A51" s="220"/>
      <c r="B51" s="152"/>
      <c r="C51" s="152"/>
      <c r="D51" s="152"/>
      <c r="E51" s="152"/>
      <c r="F51" s="149">
        <f t="shared" si="0"/>
        <v>0</v>
      </c>
      <c r="G51" s="149">
        <v>0</v>
      </c>
      <c r="H51" s="153">
        <f t="shared" si="2"/>
        <v>0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3.2">
      <c r="A52" s="220"/>
      <c r="B52" s="152"/>
      <c r="C52" s="152"/>
      <c r="D52" s="152"/>
      <c r="E52" s="152"/>
      <c r="F52" s="149">
        <f t="shared" si="0"/>
        <v>0</v>
      </c>
      <c r="G52" s="149">
        <v>0</v>
      </c>
      <c r="H52" s="153">
        <v>0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3.2">
      <c r="A53" s="220"/>
      <c r="B53" s="152"/>
      <c r="C53" s="152"/>
      <c r="D53" s="152"/>
      <c r="E53" s="152"/>
      <c r="F53" s="149">
        <f t="shared" si="0"/>
        <v>0</v>
      </c>
      <c r="G53" s="149">
        <v>0</v>
      </c>
      <c r="H53" s="153">
        <v>0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3.2">
      <c r="A54" s="220"/>
      <c r="B54" s="152"/>
      <c r="C54" s="152"/>
      <c r="D54" s="152"/>
      <c r="E54" s="152"/>
      <c r="F54" s="149">
        <f t="shared" si="0"/>
        <v>0</v>
      </c>
      <c r="G54" s="149">
        <v>0</v>
      </c>
      <c r="H54" s="153">
        <v>0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3.2">
      <c r="A55" s="220"/>
      <c r="B55" s="152"/>
      <c r="C55" s="152"/>
      <c r="D55" s="152"/>
      <c r="E55" s="152"/>
      <c r="F55" s="149">
        <f t="shared" si="0"/>
        <v>0</v>
      </c>
      <c r="G55" s="149">
        <v>0</v>
      </c>
      <c r="H55" s="153">
        <v>0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3.2">
      <c r="A56" s="220"/>
      <c r="B56" s="152"/>
      <c r="C56" s="152"/>
      <c r="D56" s="152"/>
      <c r="E56" s="152"/>
      <c r="F56" s="149">
        <f t="shared" si="0"/>
        <v>0</v>
      </c>
      <c r="G56" s="149">
        <v>0</v>
      </c>
      <c r="H56" s="153">
        <v>0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3.2">
      <c r="A57" s="220"/>
      <c r="B57" s="152"/>
      <c r="C57" s="152"/>
      <c r="D57" s="152"/>
      <c r="E57" s="152"/>
      <c r="F57" s="149">
        <f t="shared" si="0"/>
        <v>0</v>
      </c>
      <c r="G57" s="149">
        <v>0</v>
      </c>
      <c r="H57" s="153">
        <f t="shared" ref="H57:H78" si="3">G57*C57</f>
        <v>0</v>
      </c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3.2">
      <c r="A58" s="220"/>
      <c r="B58" s="152"/>
      <c r="C58" s="152"/>
      <c r="D58" s="152"/>
      <c r="E58" s="152"/>
      <c r="F58" s="149">
        <f t="shared" si="0"/>
        <v>0</v>
      </c>
      <c r="G58" s="149">
        <v>0</v>
      </c>
      <c r="H58" s="153">
        <f t="shared" si="3"/>
        <v>0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3.2">
      <c r="A59" s="220"/>
      <c r="B59" s="152"/>
      <c r="C59" s="152"/>
      <c r="D59" s="152"/>
      <c r="E59" s="152"/>
      <c r="F59" s="149">
        <f t="shared" si="0"/>
        <v>0</v>
      </c>
      <c r="G59" s="149">
        <v>0</v>
      </c>
      <c r="H59" s="153">
        <f t="shared" si="3"/>
        <v>0</v>
      </c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3.2">
      <c r="A60" s="220"/>
      <c r="B60" s="152"/>
      <c r="C60" s="152"/>
      <c r="D60" s="152"/>
      <c r="E60" s="152"/>
      <c r="F60" s="149">
        <f t="shared" si="0"/>
        <v>0</v>
      </c>
      <c r="G60" s="149">
        <v>0</v>
      </c>
      <c r="H60" s="153">
        <f t="shared" si="3"/>
        <v>0</v>
      </c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3.2">
      <c r="A61" s="221"/>
      <c r="B61" s="154"/>
      <c r="C61" s="154"/>
      <c r="D61" s="154"/>
      <c r="E61" s="154"/>
      <c r="F61" s="155">
        <f t="shared" si="0"/>
        <v>0</v>
      </c>
      <c r="G61" s="155">
        <v>0</v>
      </c>
      <c r="H61" s="156">
        <f t="shared" si="3"/>
        <v>0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3.2">
      <c r="A62" s="225" t="s">
        <v>294</v>
      </c>
      <c r="B62" s="120"/>
      <c r="C62" s="120"/>
      <c r="D62" s="120"/>
      <c r="E62" s="120"/>
      <c r="F62" s="121">
        <f t="shared" si="0"/>
        <v>0</v>
      </c>
      <c r="G62" s="122">
        <v>0</v>
      </c>
      <c r="H62" s="123">
        <f t="shared" si="3"/>
        <v>0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3.2">
      <c r="A63" s="220"/>
      <c r="B63" s="124"/>
      <c r="C63" s="124"/>
      <c r="D63" s="124"/>
      <c r="E63" s="124"/>
      <c r="F63" s="121">
        <f t="shared" si="0"/>
        <v>0</v>
      </c>
      <c r="G63" s="121">
        <v>0</v>
      </c>
      <c r="H63" s="125">
        <f t="shared" si="3"/>
        <v>0</v>
      </c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3.2">
      <c r="A64" s="220"/>
      <c r="B64" s="124"/>
      <c r="C64" s="124"/>
      <c r="D64" s="124"/>
      <c r="E64" s="124"/>
      <c r="F64" s="121">
        <f t="shared" si="0"/>
        <v>0</v>
      </c>
      <c r="G64" s="121">
        <v>0</v>
      </c>
      <c r="H64" s="125">
        <f t="shared" si="3"/>
        <v>0</v>
      </c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3.2">
      <c r="A65" s="220"/>
      <c r="B65" s="124"/>
      <c r="C65" s="124"/>
      <c r="D65" s="124"/>
      <c r="E65" s="124"/>
      <c r="F65" s="121">
        <f t="shared" si="0"/>
        <v>0</v>
      </c>
      <c r="G65" s="121">
        <v>0</v>
      </c>
      <c r="H65" s="125">
        <f t="shared" si="3"/>
        <v>0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3.2">
      <c r="A66" s="220"/>
      <c r="B66" s="124"/>
      <c r="C66" s="124"/>
      <c r="D66" s="124"/>
      <c r="E66" s="124"/>
      <c r="F66" s="121">
        <f t="shared" si="0"/>
        <v>0</v>
      </c>
      <c r="G66" s="121">
        <v>0</v>
      </c>
      <c r="H66" s="125">
        <f t="shared" si="3"/>
        <v>0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3.2">
      <c r="A67" s="220"/>
      <c r="B67" s="124"/>
      <c r="C67" s="124"/>
      <c r="D67" s="124"/>
      <c r="E67" s="124"/>
      <c r="F67" s="121">
        <f t="shared" si="0"/>
        <v>0</v>
      </c>
      <c r="G67" s="121">
        <v>0</v>
      </c>
      <c r="H67" s="125">
        <f t="shared" si="3"/>
        <v>0</v>
      </c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3.2">
      <c r="A68" s="220"/>
      <c r="B68" s="124"/>
      <c r="C68" s="124"/>
      <c r="D68" s="124"/>
      <c r="E68" s="124"/>
      <c r="F68" s="121">
        <f t="shared" si="0"/>
        <v>0</v>
      </c>
      <c r="G68" s="121">
        <v>0</v>
      </c>
      <c r="H68" s="125">
        <f t="shared" si="3"/>
        <v>0</v>
      </c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3.2">
      <c r="A69" s="220"/>
      <c r="B69" s="124"/>
      <c r="C69" s="124"/>
      <c r="D69" s="124"/>
      <c r="E69" s="124"/>
      <c r="F69" s="121">
        <f t="shared" si="0"/>
        <v>0</v>
      </c>
      <c r="G69" s="121">
        <v>0</v>
      </c>
      <c r="H69" s="125">
        <f t="shared" si="3"/>
        <v>0</v>
      </c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3.2">
      <c r="A70" s="220"/>
      <c r="B70" s="124"/>
      <c r="C70" s="124"/>
      <c r="D70" s="124"/>
      <c r="E70" s="124"/>
      <c r="F70" s="121">
        <f t="shared" si="0"/>
        <v>0</v>
      </c>
      <c r="G70" s="121">
        <v>0</v>
      </c>
      <c r="H70" s="125">
        <f t="shared" si="3"/>
        <v>0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3.2">
      <c r="A71" s="220"/>
      <c r="B71" s="124"/>
      <c r="C71" s="124"/>
      <c r="D71" s="124"/>
      <c r="E71" s="124"/>
      <c r="F71" s="121">
        <f t="shared" si="0"/>
        <v>0</v>
      </c>
      <c r="G71" s="121">
        <v>0</v>
      </c>
      <c r="H71" s="125">
        <f t="shared" si="3"/>
        <v>0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3.2">
      <c r="A72" s="220"/>
      <c r="B72" s="124"/>
      <c r="C72" s="124"/>
      <c r="D72" s="124"/>
      <c r="E72" s="124"/>
      <c r="F72" s="121">
        <f t="shared" si="0"/>
        <v>0</v>
      </c>
      <c r="G72" s="121">
        <v>0</v>
      </c>
      <c r="H72" s="125">
        <f t="shared" si="3"/>
        <v>0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3.2">
      <c r="A73" s="220"/>
      <c r="B73" s="124"/>
      <c r="C73" s="124"/>
      <c r="D73" s="124"/>
      <c r="E73" s="124"/>
      <c r="F73" s="121">
        <f t="shared" si="0"/>
        <v>0</v>
      </c>
      <c r="G73" s="121">
        <v>0</v>
      </c>
      <c r="H73" s="125">
        <f t="shared" si="3"/>
        <v>0</v>
      </c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3.2">
      <c r="A74" s="221"/>
      <c r="B74" s="127"/>
      <c r="C74" s="127"/>
      <c r="D74" s="127"/>
      <c r="E74" s="127"/>
      <c r="F74" s="128">
        <f t="shared" si="0"/>
        <v>0</v>
      </c>
      <c r="G74" s="128">
        <v>0</v>
      </c>
      <c r="H74" s="129">
        <f t="shared" si="3"/>
        <v>0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3.2">
      <c r="A75" s="226" t="s">
        <v>295</v>
      </c>
      <c r="B75" s="157"/>
      <c r="C75" s="157"/>
      <c r="D75" s="157"/>
      <c r="E75" s="157"/>
      <c r="F75" s="158">
        <f t="shared" si="0"/>
        <v>0</v>
      </c>
      <c r="G75" s="159">
        <v>0</v>
      </c>
      <c r="H75" s="160">
        <f t="shared" si="3"/>
        <v>0</v>
      </c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3.2">
      <c r="A76" s="220"/>
      <c r="B76" s="161"/>
      <c r="C76" s="161"/>
      <c r="D76" s="161"/>
      <c r="E76" s="161"/>
      <c r="F76" s="158">
        <f t="shared" si="0"/>
        <v>0</v>
      </c>
      <c r="G76" s="158">
        <v>0</v>
      </c>
      <c r="H76" s="162">
        <f t="shared" si="3"/>
        <v>0</v>
      </c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3.2">
      <c r="A77" s="220"/>
      <c r="B77" s="161"/>
      <c r="C77" s="161"/>
      <c r="D77" s="161"/>
      <c r="E77" s="161"/>
      <c r="F77" s="158">
        <f t="shared" si="0"/>
        <v>0</v>
      </c>
      <c r="G77" s="158">
        <v>0</v>
      </c>
      <c r="H77" s="162">
        <f t="shared" si="3"/>
        <v>0</v>
      </c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3.2">
      <c r="A78" s="220"/>
      <c r="B78" s="161"/>
      <c r="C78" s="161"/>
      <c r="D78" s="161"/>
      <c r="E78" s="161"/>
      <c r="F78" s="158">
        <f t="shared" si="0"/>
        <v>0</v>
      </c>
      <c r="G78" s="158">
        <v>0</v>
      </c>
      <c r="H78" s="162">
        <f t="shared" si="3"/>
        <v>0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3.2">
      <c r="A79" s="221"/>
      <c r="B79" s="163"/>
      <c r="C79" s="163"/>
      <c r="D79" s="163"/>
      <c r="E79" s="163"/>
      <c r="F79" s="164">
        <f t="shared" si="0"/>
        <v>0</v>
      </c>
      <c r="G79" s="164">
        <v>0</v>
      </c>
      <c r="H79" s="165">
        <v>0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3.2">
      <c r="A80" s="227" t="s">
        <v>296</v>
      </c>
      <c r="B80" s="166"/>
      <c r="C80" s="166"/>
      <c r="D80" s="166"/>
      <c r="E80" s="166"/>
      <c r="F80" s="167">
        <f t="shared" si="0"/>
        <v>0</v>
      </c>
      <c r="G80" s="168">
        <v>0</v>
      </c>
      <c r="H80" s="169">
        <f t="shared" ref="H80:H108" si="4">G80*C80</f>
        <v>0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3.2">
      <c r="A81" s="220"/>
      <c r="B81" s="170"/>
      <c r="C81" s="170"/>
      <c r="D81" s="170"/>
      <c r="E81" s="170"/>
      <c r="F81" s="167">
        <f t="shared" si="0"/>
        <v>0</v>
      </c>
      <c r="G81" s="167">
        <v>0</v>
      </c>
      <c r="H81" s="171">
        <f t="shared" si="4"/>
        <v>0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3.2">
      <c r="A82" s="220"/>
      <c r="B82" s="170"/>
      <c r="C82" s="170"/>
      <c r="D82" s="170"/>
      <c r="E82" s="170"/>
      <c r="F82" s="167">
        <f t="shared" si="0"/>
        <v>0</v>
      </c>
      <c r="G82" s="167">
        <v>0</v>
      </c>
      <c r="H82" s="171">
        <f t="shared" si="4"/>
        <v>0</v>
      </c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3.2">
      <c r="A83" s="220"/>
      <c r="B83" s="170"/>
      <c r="C83" s="170"/>
      <c r="D83" s="170"/>
      <c r="E83" s="170"/>
      <c r="F83" s="167">
        <f t="shared" si="0"/>
        <v>0</v>
      </c>
      <c r="G83" s="167">
        <v>0</v>
      </c>
      <c r="H83" s="171">
        <f t="shared" si="4"/>
        <v>0</v>
      </c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3.2">
      <c r="A84" s="220"/>
      <c r="B84" s="170"/>
      <c r="C84" s="170"/>
      <c r="D84" s="170"/>
      <c r="E84" s="170"/>
      <c r="F84" s="167">
        <f t="shared" si="0"/>
        <v>0</v>
      </c>
      <c r="G84" s="167">
        <v>0</v>
      </c>
      <c r="H84" s="171">
        <f t="shared" si="4"/>
        <v>0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3.2">
      <c r="A85" s="220"/>
      <c r="B85" s="170"/>
      <c r="C85" s="170"/>
      <c r="D85" s="170"/>
      <c r="E85" s="170"/>
      <c r="F85" s="167">
        <f t="shared" si="0"/>
        <v>0</v>
      </c>
      <c r="G85" s="167">
        <v>0</v>
      </c>
      <c r="H85" s="171">
        <f t="shared" si="4"/>
        <v>0</v>
      </c>
      <c r="I85" s="26"/>
      <c r="J85" s="26" t="s">
        <v>184</v>
      </c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3.2">
      <c r="A86" s="220"/>
      <c r="B86" s="170"/>
      <c r="C86" s="170"/>
      <c r="D86" s="170"/>
      <c r="E86" s="170"/>
      <c r="F86" s="167">
        <f t="shared" si="0"/>
        <v>0</v>
      </c>
      <c r="G86" s="167">
        <v>0</v>
      </c>
      <c r="H86" s="171">
        <f t="shared" si="4"/>
        <v>0</v>
      </c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3.2">
      <c r="A87" s="220"/>
      <c r="B87" s="170"/>
      <c r="C87" s="170"/>
      <c r="D87" s="170"/>
      <c r="E87" s="170"/>
      <c r="F87" s="167">
        <f t="shared" si="0"/>
        <v>0</v>
      </c>
      <c r="G87" s="167">
        <v>0</v>
      </c>
      <c r="H87" s="171">
        <f t="shared" si="4"/>
        <v>0</v>
      </c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3.2">
      <c r="A88" s="220"/>
      <c r="B88" s="170"/>
      <c r="C88" s="170"/>
      <c r="D88" s="170"/>
      <c r="E88" s="170"/>
      <c r="F88" s="167">
        <f t="shared" si="0"/>
        <v>0</v>
      </c>
      <c r="G88" s="167">
        <v>0</v>
      </c>
      <c r="H88" s="171">
        <f t="shared" si="4"/>
        <v>0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3.2">
      <c r="A89" s="220"/>
      <c r="B89" s="170"/>
      <c r="C89" s="170"/>
      <c r="D89" s="170"/>
      <c r="E89" s="170"/>
      <c r="F89" s="167">
        <f t="shared" si="0"/>
        <v>0</v>
      </c>
      <c r="G89" s="167">
        <v>0</v>
      </c>
      <c r="H89" s="171">
        <f t="shared" si="4"/>
        <v>0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3.2">
      <c r="A90" s="220"/>
      <c r="B90" s="170"/>
      <c r="C90" s="170"/>
      <c r="D90" s="170"/>
      <c r="E90" s="170"/>
      <c r="F90" s="167">
        <f t="shared" si="0"/>
        <v>0</v>
      </c>
      <c r="G90" s="167">
        <v>0</v>
      </c>
      <c r="H90" s="171">
        <f t="shared" si="4"/>
        <v>0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3.2">
      <c r="A91" s="220"/>
      <c r="B91" s="170"/>
      <c r="C91" s="170"/>
      <c r="D91" s="170"/>
      <c r="E91" s="170"/>
      <c r="F91" s="167">
        <f t="shared" si="0"/>
        <v>0</v>
      </c>
      <c r="G91" s="167">
        <v>0</v>
      </c>
      <c r="H91" s="171">
        <f t="shared" si="4"/>
        <v>0</v>
      </c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3.2">
      <c r="A92" s="220"/>
      <c r="B92" s="170"/>
      <c r="C92" s="170"/>
      <c r="D92" s="170"/>
      <c r="E92" s="170"/>
      <c r="F92" s="167">
        <f t="shared" si="0"/>
        <v>0</v>
      </c>
      <c r="G92" s="167">
        <v>0</v>
      </c>
      <c r="H92" s="171">
        <f t="shared" si="4"/>
        <v>0</v>
      </c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3.2">
      <c r="A93" s="220"/>
      <c r="B93" s="170"/>
      <c r="C93" s="170"/>
      <c r="D93" s="170"/>
      <c r="E93" s="170"/>
      <c r="F93" s="167">
        <f t="shared" si="0"/>
        <v>0</v>
      </c>
      <c r="G93" s="167">
        <v>0</v>
      </c>
      <c r="H93" s="171">
        <f t="shared" si="4"/>
        <v>0</v>
      </c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3.2">
      <c r="A94" s="220"/>
      <c r="B94" s="170"/>
      <c r="C94" s="170"/>
      <c r="D94" s="170"/>
      <c r="E94" s="170"/>
      <c r="F94" s="167">
        <f t="shared" si="0"/>
        <v>0</v>
      </c>
      <c r="G94" s="167">
        <v>0</v>
      </c>
      <c r="H94" s="171">
        <f t="shared" si="4"/>
        <v>0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3.2">
      <c r="A95" s="220"/>
      <c r="B95" s="170"/>
      <c r="C95" s="170"/>
      <c r="D95" s="170"/>
      <c r="E95" s="170"/>
      <c r="F95" s="167">
        <f t="shared" si="0"/>
        <v>0</v>
      </c>
      <c r="G95" s="167">
        <v>0</v>
      </c>
      <c r="H95" s="171">
        <f t="shared" si="4"/>
        <v>0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3.2">
      <c r="A96" s="220"/>
      <c r="B96" s="170"/>
      <c r="C96" s="170"/>
      <c r="D96" s="170"/>
      <c r="E96" s="170"/>
      <c r="F96" s="167">
        <f t="shared" si="0"/>
        <v>0</v>
      </c>
      <c r="G96" s="167">
        <v>0</v>
      </c>
      <c r="H96" s="171">
        <f t="shared" si="4"/>
        <v>0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3.2">
      <c r="A97" s="220"/>
      <c r="B97" s="170"/>
      <c r="C97" s="170"/>
      <c r="D97" s="170"/>
      <c r="E97" s="170"/>
      <c r="F97" s="167">
        <f t="shared" si="0"/>
        <v>0</v>
      </c>
      <c r="G97" s="167">
        <v>0</v>
      </c>
      <c r="H97" s="171">
        <f t="shared" si="4"/>
        <v>0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3.2">
      <c r="A98" s="220"/>
      <c r="B98" s="170"/>
      <c r="C98" s="170"/>
      <c r="D98" s="170"/>
      <c r="E98" s="170"/>
      <c r="F98" s="167">
        <f t="shared" si="0"/>
        <v>0</v>
      </c>
      <c r="G98" s="167">
        <v>0</v>
      </c>
      <c r="H98" s="171">
        <f t="shared" si="4"/>
        <v>0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3.2">
      <c r="A99" s="220"/>
      <c r="B99" s="170"/>
      <c r="C99" s="170"/>
      <c r="D99" s="170"/>
      <c r="E99" s="170"/>
      <c r="F99" s="167">
        <f t="shared" si="0"/>
        <v>0</v>
      </c>
      <c r="G99" s="167">
        <v>0</v>
      </c>
      <c r="H99" s="171">
        <f t="shared" si="4"/>
        <v>0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3.2">
      <c r="A100" s="220"/>
      <c r="B100" s="170"/>
      <c r="C100" s="170"/>
      <c r="D100" s="170"/>
      <c r="E100" s="170"/>
      <c r="F100" s="167">
        <f t="shared" si="0"/>
        <v>0</v>
      </c>
      <c r="G100" s="167">
        <v>0</v>
      </c>
      <c r="H100" s="171">
        <f t="shared" si="4"/>
        <v>0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3.2">
      <c r="A101" s="220"/>
      <c r="B101" s="170"/>
      <c r="C101" s="170"/>
      <c r="D101" s="170"/>
      <c r="E101" s="170"/>
      <c r="F101" s="167">
        <f t="shared" si="0"/>
        <v>0</v>
      </c>
      <c r="G101" s="167">
        <v>0</v>
      </c>
      <c r="H101" s="171">
        <f t="shared" si="4"/>
        <v>0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3.2">
      <c r="A102" s="220"/>
      <c r="B102" s="170"/>
      <c r="C102" s="170"/>
      <c r="D102" s="170"/>
      <c r="E102" s="170"/>
      <c r="F102" s="167">
        <f t="shared" si="0"/>
        <v>0</v>
      </c>
      <c r="G102" s="167">
        <v>0</v>
      </c>
      <c r="H102" s="171">
        <f t="shared" si="4"/>
        <v>0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3.2">
      <c r="A103" s="220"/>
      <c r="B103" s="170"/>
      <c r="C103" s="170"/>
      <c r="D103" s="170"/>
      <c r="E103" s="170"/>
      <c r="F103" s="167">
        <f t="shared" si="0"/>
        <v>0</v>
      </c>
      <c r="G103" s="167">
        <v>0</v>
      </c>
      <c r="H103" s="171">
        <f t="shared" si="4"/>
        <v>0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3.2">
      <c r="A104" s="220"/>
      <c r="B104" s="170"/>
      <c r="C104" s="170"/>
      <c r="D104" s="170"/>
      <c r="E104" s="170"/>
      <c r="F104" s="167">
        <f t="shared" si="0"/>
        <v>0</v>
      </c>
      <c r="G104" s="167">
        <v>0</v>
      </c>
      <c r="H104" s="171">
        <f t="shared" si="4"/>
        <v>0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3.2">
      <c r="A105" s="220"/>
      <c r="B105" s="170"/>
      <c r="C105" s="170"/>
      <c r="D105" s="170"/>
      <c r="E105" s="170"/>
      <c r="F105" s="167">
        <f t="shared" si="0"/>
        <v>0</v>
      </c>
      <c r="G105" s="167">
        <v>0</v>
      </c>
      <c r="H105" s="171">
        <f t="shared" si="4"/>
        <v>0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3.2">
      <c r="A106" s="220"/>
      <c r="B106" s="170"/>
      <c r="C106" s="170"/>
      <c r="D106" s="170"/>
      <c r="E106" s="170"/>
      <c r="F106" s="167">
        <f t="shared" si="0"/>
        <v>0</v>
      </c>
      <c r="G106" s="167">
        <v>0</v>
      </c>
      <c r="H106" s="171">
        <f t="shared" si="4"/>
        <v>0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3.2">
      <c r="A107" s="220"/>
      <c r="B107" s="170"/>
      <c r="C107" s="170"/>
      <c r="D107" s="170"/>
      <c r="E107" s="170"/>
      <c r="F107" s="167">
        <f t="shared" si="0"/>
        <v>0</v>
      </c>
      <c r="G107" s="167">
        <v>0</v>
      </c>
      <c r="H107" s="171">
        <f t="shared" si="4"/>
        <v>0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3.2">
      <c r="A108" s="221"/>
      <c r="B108" s="172"/>
      <c r="C108" s="172"/>
      <c r="D108" s="172"/>
      <c r="E108" s="172"/>
      <c r="F108" s="173">
        <f t="shared" si="0"/>
        <v>0</v>
      </c>
      <c r="G108" s="173">
        <v>0</v>
      </c>
      <c r="H108" s="174">
        <f t="shared" si="4"/>
        <v>0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3.2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3.2">
      <c r="A110" s="26"/>
      <c r="B110" s="26"/>
      <c r="C110" s="26"/>
      <c r="D110" s="26"/>
      <c r="E110" s="26"/>
      <c r="F110" s="175">
        <f>SUM(F4:F108)</f>
        <v>0</v>
      </c>
      <c r="G110" s="26"/>
      <c r="H110" s="42">
        <f>SUM(H4:H108)</f>
        <v>0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3.2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3.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3.2">
      <c r="A113" s="26"/>
      <c r="B113" s="176" t="s">
        <v>297</v>
      </c>
      <c r="C113" s="177">
        <f>F110</f>
        <v>0</v>
      </c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3.2">
      <c r="A114" s="26"/>
      <c r="B114" s="26" t="s">
        <v>298</v>
      </c>
      <c r="C114" s="42">
        <f>H110</f>
        <v>0</v>
      </c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3.2">
      <c r="A115" s="26"/>
      <c r="B115" s="26" t="s">
        <v>299</v>
      </c>
      <c r="C115" s="42">
        <v>0</v>
      </c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3.2">
      <c r="A116" s="26"/>
      <c r="B116" s="26" t="s">
        <v>300</v>
      </c>
      <c r="C116" s="42">
        <v>0</v>
      </c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3.2">
      <c r="A117" s="26"/>
      <c r="B117" s="26" t="s">
        <v>301</v>
      </c>
      <c r="C117" s="42">
        <v>0</v>
      </c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3.2">
      <c r="A118" s="26"/>
      <c r="B118" s="176" t="s">
        <v>302</v>
      </c>
      <c r="C118" s="178">
        <f>C113-C114+C115+C116+C117</f>
        <v>0</v>
      </c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3.2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3.2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3.2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3.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3.2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3.2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3.2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3.2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3.2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3.2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3.2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3.2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3.2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3.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3.2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3.2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3.2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3.2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3.2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3.2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3.2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3.2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3.2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3.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3.2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3.2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3.2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3.2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3.2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3.2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3.2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3.2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3.2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3.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3.2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3.2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3.2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3.2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3.2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3.2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3.2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3.2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3.2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3.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3.2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3.2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3.2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3.2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3.2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3.2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3.2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3.2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3.2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3.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3.2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3.2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3.2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3.2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3.2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3.2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3.2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3.2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3.2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3.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3.2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3.2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3.2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3.2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3.2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3.2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3.2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3.2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3.2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3.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3.2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3.2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3.2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3.2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3.2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3.2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3.2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3.2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3.2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3.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3.2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3.2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3.2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3.2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3.2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3.2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3.2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26"/>
      <c r="Z209" s="26"/>
    </row>
    <row r="210" spans="1:26" ht="13.2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26"/>
      <c r="Z210" s="26"/>
    </row>
    <row r="211" spans="1:26" ht="13.2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26"/>
      <c r="Z211" s="26"/>
    </row>
    <row r="212" spans="1:26" ht="13.2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26"/>
      <c r="Z212" s="26"/>
    </row>
    <row r="213" spans="1:26" ht="13.2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26"/>
      <c r="Z213" s="26"/>
    </row>
    <row r="214" spans="1:26" ht="13.2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26"/>
      <c r="Z214" s="26"/>
    </row>
    <row r="215" spans="1:26" ht="13.2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26"/>
      <c r="Z215" s="26"/>
    </row>
    <row r="216" spans="1:26" ht="13.2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26"/>
      <c r="Z216" s="26"/>
    </row>
    <row r="217" spans="1:26" ht="13.2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26"/>
      <c r="Z217" s="26"/>
    </row>
    <row r="218" spans="1:26" ht="13.2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26"/>
      <c r="Z218" s="26"/>
    </row>
    <row r="219" spans="1:26" ht="13.2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26"/>
      <c r="Z219" s="26"/>
    </row>
    <row r="220" spans="1:26" ht="13.2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26"/>
      <c r="Z220" s="26"/>
    </row>
    <row r="221" spans="1:26" ht="13.2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26"/>
      <c r="Z221" s="26"/>
    </row>
    <row r="222" spans="1:26" ht="13.2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26"/>
      <c r="Z222" s="26"/>
    </row>
    <row r="223" spans="1:26" ht="13.2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26"/>
      <c r="Z223" s="26"/>
    </row>
    <row r="224" spans="1:26" ht="13.2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26"/>
      <c r="Z224" s="26"/>
    </row>
    <row r="225" spans="1:26" ht="13.2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26"/>
      <c r="Z225" s="26"/>
    </row>
    <row r="226" spans="1:26" ht="13.2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26"/>
      <c r="Z226" s="26"/>
    </row>
    <row r="227" spans="1:26" ht="13.2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26"/>
      <c r="Z227" s="26"/>
    </row>
    <row r="228" spans="1:26" ht="13.2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26"/>
      <c r="Z228" s="26"/>
    </row>
    <row r="229" spans="1:26" ht="13.2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26"/>
      <c r="Z229" s="26"/>
    </row>
    <row r="230" spans="1:26" ht="13.2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26"/>
      <c r="Z230" s="26"/>
    </row>
    <row r="231" spans="1:26" ht="13.2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26"/>
      <c r="Z231" s="26"/>
    </row>
    <row r="232" spans="1:26" ht="13.2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26"/>
      <c r="Z232" s="26"/>
    </row>
    <row r="233" spans="1:26" ht="13.2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26"/>
      <c r="Z233" s="26"/>
    </row>
    <row r="234" spans="1:26" ht="13.2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26"/>
      <c r="Z234" s="26"/>
    </row>
    <row r="235" spans="1:26" ht="13.2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26"/>
      <c r="Z235" s="26"/>
    </row>
    <row r="236" spans="1:26" ht="13.2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26"/>
      <c r="Z236" s="26"/>
    </row>
    <row r="237" spans="1:26" ht="13.2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26"/>
      <c r="Z237" s="26"/>
    </row>
    <row r="238" spans="1:26" ht="13.2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26"/>
      <c r="Z238" s="26"/>
    </row>
    <row r="239" spans="1:26" ht="13.2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26"/>
      <c r="Z239" s="26"/>
    </row>
    <row r="240" spans="1:26" ht="13.2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26"/>
      <c r="Z240" s="26"/>
    </row>
    <row r="241" spans="1:26" ht="13.2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26"/>
      <c r="Z241" s="26"/>
    </row>
    <row r="242" spans="1:26" ht="13.2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26"/>
      <c r="Z242" s="26"/>
    </row>
    <row r="243" spans="1:26" ht="13.2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26"/>
      <c r="Z243" s="26"/>
    </row>
    <row r="244" spans="1:26" ht="13.2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26"/>
      <c r="Z244" s="26"/>
    </row>
    <row r="245" spans="1:26" ht="13.2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26"/>
      <c r="Z245" s="26"/>
    </row>
    <row r="246" spans="1:26" ht="13.2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26"/>
      <c r="Z246" s="26"/>
    </row>
    <row r="247" spans="1:26" ht="13.2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26"/>
      <c r="Z247" s="26"/>
    </row>
    <row r="248" spans="1:26" ht="13.2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26"/>
      <c r="Z248" s="26"/>
    </row>
    <row r="249" spans="1:26" ht="13.2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26"/>
      <c r="Z249" s="26"/>
    </row>
    <row r="250" spans="1:26" ht="13.2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26"/>
      <c r="Z250" s="26"/>
    </row>
    <row r="251" spans="1:26" ht="13.2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26"/>
      <c r="Z251" s="26"/>
    </row>
    <row r="252" spans="1:26" ht="13.2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26"/>
      <c r="Z252" s="26"/>
    </row>
    <row r="253" spans="1:26" ht="13.2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26"/>
      <c r="Z253" s="26"/>
    </row>
    <row r="254" spans="1:26" ht="13.2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26"/>
      <c r="Z254" s="26"/>
    </row>
    <row r="255" spans="1:26" ht="13.2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26"/>
      <c r="Z255" s="26"/>
    </row>
    <row r="256" spans="1:26" ht="13.2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26"/>
      <c r="Z256" s="26"/>
    </row>
    <row r="257" spans="1:26" ht="13.2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26"/>
      <c r="Z257" s="26"/>
    </row>
    <row r="258" spans="1:26" ht="13.2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26"/>
      <c r="Z258" s="26"/>
    </row>
    <row r="259" spans="1:26" ht="13.2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26"/>
      <c r="Z259" s="26"/>
    </row>
    <row r="260" spans="1:26" ht="13.2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26"/>
      <c r="Z260" s="26"/>
    </row>
    <row r="261" spans="1:26" ht="13.2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26"/>
      <c r="Z261" s="26"/>
    </row>
    <row r="262" spans="1:26" ht="13.2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26"/>
      <c r="Z262" s="26"/>
    </row>
    <row r="263" spans="1:26" ht="13.2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26"/>
      <c r="Z263" s="26"/>
    </row>
    <row r="264" spans="1:26" ht="13.2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26"/>
      <c r="Z264" s="26"/>
    </row>
    <row r="265" spans="1:26" ht="13.2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26"/>
      <c r="Z265" s="26"/>
    </row>
    <row r="266" spans="1:26" ht="13.2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26"/>
      <c r="Z266" s="26"/>
    </row>
    <row r="267" spans="1:26" ht="13.2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26"/>
      <c r="Z267" s="26"/>
    </row>
    <row r="268" spans="1:26" ht="13.2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26"/>
      <c r="Z268" s="26"/>
    </row>
    <row r="269" spans="1:26" ht="13.2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26"/>
      <c r="Z269" s="26"/>
    </row>
    <row r="270" spans="1:26" ht="13.2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26"/>
      <c r="Z270" s="26"/>
    </row>
    <row r="271" spans="1:26" ht="13.2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26"/>
      <c r="Z271" s="26"/>
    </row>
    <row r="272" spans="1:26" ht="13.2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26"/>
      <c r="Z272" s="26"/>
    </row>
    <row r="273" spans="1:26" ht="13.2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26"/>
      <c r="Z273" s="26"/>
    </row>
    <row r="274" spans="1:26" ht="13.2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26"/>
      <c r="Z274" s="26"/>
    </row>
    <row r="275" spans="1:26" ht="13.2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26"/>
      <c r="Z275" s="26"/>
    </row>
    <row r="276" spans="1:26" ht="13.2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26"/>
      <c r="Z276" s="26"/>
    </row>
    <row r="277" spans="1:26" ht="13.2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26"/>
      <c r="Z277" s="26"/>
    </row>
    <row r="278" spans="1:26" ht="13.2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26"/>
      <c r="Z278" s="26"/>
    </row>
    <row r="279" spans="1:26" ht="13.2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26"/>
      <c r="Z279" s="26"/>
    </row>
    <row r="280" spans="1:26" ht="13.2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26"/>
      <c r="Z280" s="26"/>
    </row>
    <row r="281" spans="1:26" ht="13.2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26"/>
      <c r="Z281" s="26"/>
    </row>
    <row r="282" spans="1:26" ht="13.2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26"/>
      <c r="Z282" s="26"/>
    </row>
    <row r="283" spans="1:26" ht="13.2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26"/>
      <c r="Z283" s="26"/>
    </row>
    <row r="284" spans="1:26" ht="13.2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26"/>
      <c r="Z284" s="26"/>
    </row>
    <row r="285" spans="1:26" ht="13.2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26"/>
      <c r="Z285" s="26"/>
    </row>
    <row r="286" spans="1:26" ht="13.2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26"/>
      <c r="Z286" s="26"/>
    </row>
    <row r="287" spans="1:26" ht="13.2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26"/>
      <c r="Z287" s="26"/>
    </row>
    <row r="288" spans="1:26" ht="13.2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26"/>
      <c r="Z288" s="26"/>
    </row>
    <row r="289" spans="1:26" ht="13.2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26"/>
      <c r="Z289" s="26"/>
    </row>
    <row r="290" spans="1:26" ht="13.2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26"/>
      <c r="Z290" s="26"/>
    </row>
    <row r="291" spans="1:26" ht="13.2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26"/>
      <c r="Z291" s="26"/>
    </row>
    <row r="292" spans="1:26" ht="13.2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26"/>
      <c r="Z292" s="26"/>
    </row>
    <row r="293" spans="1:26" ht="13.2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26"/>
      <c r="Z293" s="26"/>
    </row>
    <row r="294" spans="1:26" ht="13.2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26"/>
      <c r="Z294" s="26"/>
    </row>
    <row r="295" spans="1:26" ht="13.2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26"/>
      <c r="Z295" s="26"/>
    </row>
    <row r="296" spans="1:26" ht="13.2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26"/>
      <c r="Z296" s="26"/>
    </row>
    <row r="297" spans="1:26" ht="13.2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26"/>
      <c r="Z297" s="26"/>
    </row>
    <row r="298" spans="1:26" ht="13.2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26"/>
      <c r="Z298" s="26"/>
    </row>
    <row r="299" spans="1:26" ht="13.2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26"/>
      <c r="Z299" s="26"/>
    </row>
    <row r="300" spans="1:26" ht="13.2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26"/>
      <c r="Z300" s="26"/>
    </row>
    <row r="301" spans="1:26" ht="13.2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26"/>
      <c r="Z301" s="26"/>
    </row>
    <row r="302" spans="1:26" ht="13.2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26"/>
      <c r="Z302" s="26"/>
    </row>
    <row r="303" spans="1:26" ht="13.2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26"/>
      <c r="Z303" s="26"/>
    </row>
    <row r="304" spans="1:26" ht="13.2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26"/>
      <c r="Z304" s="26"/>
    </row>
    <row r="305" spans="1:26" ht="13.2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26"/>
      <c r="Z305" s="26"/>
    </row>
    <row r="306" spans="1:26" ht="13.2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26"/>
      <c r="Z306" s="26"/>
    </row>
    <row r="307" spans="1:26" ht="13.2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26"/>
      <c r="Z307" s="26"/>
    </row>
    <row r="308" spans="1:26" ht="13.2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26"/>
      <c r="Z308" s="26"/>
    </row>
    <row r="309" spans="1:26" ht="13.2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26"/>
      <c r="Z309" s="26"/>
    </row>
    <row r="310" spans="1:26" ht="13.2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26"/>
      <c r="Z310" s="26"/>
    </row>
    <row r="311" spans="1:26" ht="13.2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26"/>
      <c r="Z311" s="26"/>
    </row>
    <row r="312" spans="1:26" ht="13.2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26"/>
      <c r="Z312" s="26"/>
    </row>
    <row r="313" spans="1:26" ht="13.2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26"/>
      <c r="Z313" s="26"/>
    </row>
    <row r="314" spans="1:26" ht="13.2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26"/>
      <c r="Z314" s="26"/>
    </row>
    <row r="315" spans="1:26" ht="13.2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26"/>
      <c r="Z315" s="26"/>
    </row>
    <row r="316" spans="1:26" ht="13.2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26"/>
      <c r="Z316" s="26"/>
    </row>
    <row r="317" spans="1:26" ht="13.2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26"/>
      <c r="Z317" s="26"/>
    </row>
    <row r="318" spans="1:26" ht="13.2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26"/>
      <c r="Z318" s="26"/>
    </row>
    <row r="319" spans="1:26" ht="13.2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3.2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3.2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3.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3.2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3.2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3.2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3.2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3.2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3.2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3.2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3.2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3.2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3.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3.2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3.2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3.2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3.2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3.2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3.2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3.2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3.2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3.2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3.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3.2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3.2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3.2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3.2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3.2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3.2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3.2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3.2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3.2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3.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3.2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3.2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3.2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3.2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3.2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3.2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3.2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3.2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3.2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3.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3.2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3.2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3.2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3.2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3.2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3.2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3.2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3.2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3.2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3.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3.2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3.2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3.2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3.2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3.2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3.2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3.2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3.2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3.2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3.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3.2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3.2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3.2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3.2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3.2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3.2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3.2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3.2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3.2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3.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3.2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3.2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3.2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3.2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3.2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3.2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3.2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3.2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3.2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3.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3.2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3.2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3.2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3.2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3.2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3.2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3.2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3.2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3.2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3.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3.2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3.2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3.2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3.2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3.2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3.2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3.2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3.2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3.2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3.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3.2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3.2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3.2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3.2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3.2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3.2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3.2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3.2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3.2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3.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3.2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3.2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3.2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3.2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3.2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3.2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3.2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3.2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3.2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3.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3.2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3.2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3.2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3.2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3.2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3.2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3.2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3.2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3.2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3.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3.2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3.2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3.2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3.2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3.2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3.2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3.2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3.2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3.2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3.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3.2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3.2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3.2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3.2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3.2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3.2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3.2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3.2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3.2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3.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3.2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3.2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3.2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3.2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3.2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3.2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3.2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3.2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3.2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3.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3.2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3.2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3.2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3.2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3.2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3.2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3.2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3.2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3.2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3.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3.2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3.2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3.2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3.2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3.2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3.2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3.2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3.2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3.2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3.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3.2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3.2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3.2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3.2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3.2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3.2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3.2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3.2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3.2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3.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3.2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3.2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3.2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3.2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3.2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3.2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3.2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3.2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3.2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3.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3.2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3.2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3.2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3.2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3.2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3.2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3.2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3.2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3.2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3.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3.2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3.2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3.2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3.2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3.2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3.2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3.2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3.2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3.2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3.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3.2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3.2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3.2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3.2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3.2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3.2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3.2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3.2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3.2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3.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3.2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3.2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3.2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3.2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3.2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3.2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3.2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3.2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3.2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3.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3.2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3.2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3.2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3.2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3.2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3.2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3.2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3.2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3.2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3.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3.2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3.2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3.2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3.2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3.2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3.2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3.2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3.2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3.2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3.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3.2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3.2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3.2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3.2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3.2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3.2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3.2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3.2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3.2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3.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3.2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3.2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3.2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3.2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3.2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3.2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3.2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3.2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3.2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3.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3.2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3.2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3.2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3.2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3.2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3.2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3.2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3.2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3.2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3.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3.2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3.2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3.2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3.2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3.2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3.2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3.2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3.2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3.2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3.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3.2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3.2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3.2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3.2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3.2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3.2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3.2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3.2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3.2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3.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3.2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3.2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3.2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3.2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3.2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3.2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3.2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3.2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3.2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3.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3.2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3.2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3.2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3.2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3.2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3.2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3.2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3.2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3.2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3.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3.2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3.2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3.2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3.2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3.2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3.2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3.2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3.2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3.2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3.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3.2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3.2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3.2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3.2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3.2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3.2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3.2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3.2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3.2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3.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3.2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3.2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3.2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3.2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3.2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3.2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3.2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3.2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3.2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3.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3.2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3.2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3.2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3.2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3.2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3.2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3.2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3.2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3.2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3.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3.2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3.2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3.2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3.2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3.2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3.2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3.2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3.2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3.2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3.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3.2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3.2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3.2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3.2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3.2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3.2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3.2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3.2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3.2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3.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3.2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3.2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3.2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3.2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3.2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3.2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3.2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3.2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3.2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3.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3.2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3.2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3.2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3.2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3.2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3.2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3.2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3.2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3.2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3.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3.2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3.2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3.2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3.2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3.2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3.2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3.2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3.2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3.2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3.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3.2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3.2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3.2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3.2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3.2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3.2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3.2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3.2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3.2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3.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3.2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3.2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3.2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3.2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3.2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3.2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3.2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3.2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3.2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3.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3.2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3.2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3.2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3.2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3.2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3.2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3.2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3.2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3.2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3.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3.2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3.2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3.2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3.2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3.2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3.2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3.2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3.2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3.2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3.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3.2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3.2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3.2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3.2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3.2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3.2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3.2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3.2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3.2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3.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3.2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3.2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3.2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3.2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3.2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3.2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3.2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3.2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3.2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3.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3.2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3.2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3.2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3.2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3.2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3.2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3.2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3.2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3.2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3.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3.2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3.2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3.2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3.2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3.2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3.2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3.2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3.2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3.2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3.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3.2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3.2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3.2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3.2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3.2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3.2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3.2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3.2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3.2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3.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3.2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3.2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3.2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3.2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3.2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3.2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3.2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3.2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3.2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3.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3.2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3.2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3.2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3.2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3.2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3.2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3.2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3.2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3.2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3.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3.2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3.2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3.2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3.2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3.2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3.2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3.2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3.2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3.2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3.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3.2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3.2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3.2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3.2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3.2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3.2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3.2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3.2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3.2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3.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3.2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3.2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3.2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3.2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3.2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3.2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3.2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3.2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3.2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3.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3.2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3.2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3.2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3.2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3.2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3.2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3.2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3.2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3.2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3.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3.2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3.2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3.2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3.2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3.2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3.2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3.2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3.2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3.2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3.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3.2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3.2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3.2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3.2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3.2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3.2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3.2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3.2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3.2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3.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3.2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3.2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3.2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3.2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3.2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3.2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3.2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3.2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3.2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3.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3.2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3.2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3.2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3.2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3.2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3.2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3.2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3.2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3.2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3.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3.2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3.2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3.2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3.2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3.2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3.2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3.2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3.2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3.2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3.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3.2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3.2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3.2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3.2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3.2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3.2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3.2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3.2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3.2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3.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3.2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3.2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3.2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3.2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3.2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3.2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3.2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3.2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3.2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3.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3.2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3.2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3.2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3.2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3.2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3.2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3.2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3.2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3.2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3.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3.2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3.2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3.2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3.2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3.2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3.2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3.2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3.2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3.2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3.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3.2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3.2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3.2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3.2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3.2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3.2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3.2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3.2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3.2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3.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3.2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3.2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3.2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3.2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3.2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3.2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3.2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3.2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spans="1:26" ht="13.2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spans="1:26" ht="13.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spans="1:26" ht="13.2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 spans="1:26" ht="13.2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 spans="1:26" ht="13.2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 spans="1:26" ht="13.2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 spans="1:26" ht="13.2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 spans="1:26" ht="13.2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  <row r="1009" spans="1:26" ht="13.2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</row>
    <row r="1010" spans="1:26" ht="13.2">
      <c r="A1010" s="26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</row>
    <row r="1011" spans="1:26" ht="13.2">
      <c r="A1011" s="26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</row>
    <row r="1012" spans="1:26" ht="13.2">
      <c r="A1012" s="26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</row>
    <row r="1013" spans="1:26" ht="13.2">
      <c r="A1013" s="26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</row>
    <row r="1014" spans="1:26" ht="13.2">
      <c r="A1014" s="26"/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</row>
    <row r="1015" spans="1:26" ht="13.2">
      <c r="A1015" s="26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</row>
    <row r="1016" spans="1:26" ht="13.2">
      <c r="A1016" s="26"/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</row>
    <row r="1017" spans="1:26" ht="13.2">
      <c r="A1017" s="26"/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</row>
    <row r="1018" spans="1:26" ht="13.2">
      <c r="A1018" s="26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</row>
    <row r="1019" spans="1:26" ht="13.2">
      <c r="A1019" s="26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</row>
    <row r="1020" spans="1:26" ht="13.2">
      <c r="A1020" s="26"/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</row>
    <row r="1021" spans="1:26" ht="13.2">
      <c r="A1021" s="26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</row>
    <row r="1022" spans="1:26" ht="13.2">
      <c r="A1022" s="26"/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</row>
    <row r="1023" spans="1:26" ht="13.2">
      <c r="A1023" s="26"/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</row>
    <row r="1024" spans="1:26" ht="13.2">
      <c r="A1024" s="26"/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</row>
    <row r="1025" spans="1:26" ht="13.2">
      <c r="A1025" s="26"/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</row>
    <row r="1026" spans="1:26" ht="13.2">
      <c r="A1026" s="26"/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</row>
    <row r="1027" spans="1:26" ht="13.2">
      <c r="A1027" s="26"/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</row>
    <row r="1028" spans="1:26" ht="13.2">
      <c r="A1028" s="26"/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</row>
    <row r="1029" spans="1:26" ht="13.2">
      <c r="A1029" s="26"/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</row>
  </sheetData>
  <mergeCells count="8">
    <mergeCell ref="A62:A74"/>
    <mergeCell ref="A75:A79"/>
    <mergeCell ref="A80:A108"/>
    <mergeCell ref="G3:H3"/>
    <mergeCell ref="A4:A11"/>
    <mergeCell ref="A12:A19"/>
    <mergeCell ref="A20:A38"/>
    <mergeCell ref="A39:A6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2"/>
  <sheetViews>
    <sheetView workbookViewId="0"/>
  </sheetViews>
  <sheetFormatPr defaultColWidth="12.6640625" defaultRowHeight="15.75" customHeight="1"/>
  <sheetData>
    <row r="1" spans="1:10" ht="15.75" customHeight="1">
      <c r="A1" s="110" t="s">
        <v>303</v>
      </c>
      <c r="B1" s="111"/>
      <c r="C1" s="111"/>
      <c r="D1" s="111"/>
      <c r="E1" s="112" t="s">
        <v>283</v>
      </c>
      <c r="F1" s="111"/>
      <c r="G1" s="111"/>
      <c r="H1" s="113">
        <f>F104</f>
        <v>7280</v>
      </c>
      <c r="I1" s="26"/>
      <c r="J1" s="26"/>
    </row>
    <row r="2" spans="1:10">
      <c r="A2" s="114"/>
      <c r="B2" s="115"/>
      <c r="C2" s="115"/>
      <c r="D2" s="115"/>
      <c r="E2" s="116" t="s">
        <v>284</v>
      </c>
      <c r="F2" s="115"/>
      <c r="G2" s="115"/>
      <c r="H2" s="117">
        <f>F104-H104</f>
        <v>1920</v>
      </c>
      <c r="I2" s="26"/>
      <c r="J2" s="26"/>
    </row>
    <row r="3" spans="1:10">
      <c r="A3" s="118" t="s">
        <v>285</v>
      </c>
      <c r="B3" s="119" t="s">
        <v>286</v>
      </c>
      <c r="C3" s="119" t="s">
        <v>287</v>
      </c>
      <c r="D3" s="119" t="s">
        <v>189</v>
      </c>
      <c r="E3" s="119" t="s">
        <v>288</v>
      </c>
      <c r="F3" s="119" t="s">
        <v>289</v>
      </c>
      <c r="G3" s="217" t="s">
        <v>290</v>
      </c>
      <c r="H3" s="218"/>
      <c r="I3" s="26"/>
      <c r="J3" s="26"/>
    </row>
    <row r="4" spans="1:10">
      <c r="A4" s="219" t="s">
        <v>264</v>
      </c>
      <c r="B4" s="180" t="s">
        <v>304</v>
      </c>
      <c r="C4" s="180">
        <v>3200</v>
      </c>
      <c r="D4" s="180">
        <v>1</v>
      </c>
      <c r="E4" s="180">
        <v>1</v>
      </c>
      <c r="F4" s="121">
        <f t="shared" ref="F4:F102" si="0">C4*E4</f>
        <v>3200</v>
      </c>
      <c r="G4" s="181">
        <v>1</v>
      </c>
      <c r="H4" s="123">
        <f t="shared" ref="H4:H7" si="1">G4*C4</f>
        <v>3200</v>
      </c>
      <c r="I4" s="26"/>
      <c r="J4" s="26"/>
    </row>
    <row r="5" spans="1:10">
      <c r="A5" s="220"/>
      <c r="B5" s="182" t="s">
        <v>305</v>
      </c>
      <c r="C5" s="182">
        <v>1300</v>
      </c>
      <c r="D5" s="182">
        <v>1</v>
      </c>
      <c r="E5" s="182">
        <v>1</v>
      </c>
      <c r="F5" s="121">
        <f t="shared" si="0"/>
        <v>1300</v>
      </c>
      <c r="G5" s="121">
        <v>0</v>
      </c>
      <c r="H5" s="125">
        <f t="shared" si="1"/>
        <v>0</v>
      </c>
      <c r="I5" s="126"/>
      <c r="J5" s="26"/>
    </row>
    <row r="6" spans="1:10">
      <c r="A6" s="220"/>
      <c r="B6" s="182" t="s">
        <v>306</v>
      </c>
      <c r="C6" s="182">
        <v>300</v>
      </c>
      <c r="D6" s="182">
        <v>1</v>
      </c>
      <c r="E6" s="182">
        <v>1</v>
      </c>
      <c r="F6" s="121">
        <f t="shared" si="0"/>
        <v>300</v>
      </c>
      <c r="G6" s="121">
        <v>0</v>
      </c>
      <c r="H6" s="125">
        <f t="shared" si="1"/>
        <v>0</v>
      </c>
      <c r="I6" s="126"/>
      <c r="J6" s="26"/>
    </row>
    <row r="7" spans="1:10">
      <c r="A7" s="220"/>
      <c r="B7" s="124"/>
      <c r="C7" s="124"/>
      <c r="D7" s="124"/>
      <c r="E7" s="124"/>
      <c r="F7" s="121">
        <f t="shared" si="0"/>
        <v>0</v>
      </c>
      <c r="G7" s="121">
        <v>0</v>
      </c>
      <c r="H7" s="125">
        <f t="shared" si="1"/>
        <v>0</v>
      </c>
      <c r="I7" s="126"/>
      <c r="J7" s="26"/>
    </row>
    <row r="8" spans="1:10">
      <c r="A8" s="220"/>
      <c r="B8" s="124"/>
      <c r="C8" s="124"/>
      <c r="D8" s="124"/>
      <c r="E8" s="124"/>
      <c r="F8" s="121">
        <f t="shared" si="0"/>
        <v>0</v>
      </c>
      <c r="G8" s="121">
        <v>0</v>
      </c>
      <c r="H8" s="125">
        <v>0</v>
      </c>
      <c r="I8" s="126"/>
      <c r="J8" s="26"/>
    </row>
    <row r="9" spans="1:10">
      <c r="A9" s="220"/>
      <c r="B9" s="124"/>
      <c r="C9" s="124"/>
      <c r="D9" s="124"/>
      <c r="E9" s="124"/>
      <c r="F9" s="121">
        <f t="shared" si="0"/>
        <v>0</v>
      </c>
      <c r="G9" s="121">
        <v>0</v>
      </c>
      <c r="H9" s="125">
        <f t="shared" ref="H9:H45" si="2">G9*C9</f>
        <v>0</v>
      </c>
      <c r="I9" s="126"/>
      <c r="J9" s="26"/>
    </row>
    <row r="10" spans="1:10">
      <c r="A10" s="220"/>
      <c r="B10" s="124"/>
      <c r="C10" s="124"/>
      <c r="D10" s="124"/>
      <c r="E10" s="124"/>
      <c r="F10" s="121">
        <f t="shared" si="0"/>
        <v>0</v>
      </c>
      <c r="G10" s="121">
        <v>0</v>
      </c>
      <c r="H10" s="125">
        <f t="shared" si="2"/>
        <v>0</v>
      </c>
      <c r="I10" s="126"/>
      <c r="J10" s="26"/>
    </row>
    <row r="11" spans="1:10">
      <c r="A11" s="221"/>
      <c r="B11" s="127"/>
      <c r="C11" s="127"/>
      <c r="D11" s="127"/>
      <c r="E11" s="127"/>
      <c r="F11" s="128">
        <f t="shared" si="0"/>
        <v>0</v>
      </c>
      <c r="G11" s="128">
        <v>0</v>
      </c>
      <c r="H11" s="129">
        <f t="shared" si="2"/>
        <v>0</v>
      </c>
      <c r="I11" s="126"/>
      <c r="J11" s="26"/>
    </row>
    <row r="12" spans="1:10">
      <c r="A12" s="222" t="s">
        <v>291</v>
      </c>
      <c r="B12" s="183" t="s">
        <v>307</v>
      </c>
      <c r="C12" s="183">
        <v>1620</v>
      </c>
      <c r="D12" s="183">
        <v>1</v>
      </c>
      <c r="E12" s="183">
        <v>1</v>
      </c>
      <c r="F12" s="131">
        <f t="shared" si="0"/>
        <v>1620</v>
      </c>
      <c r="G12" s="184">
        <v>1</v>
      </c>
      <c r="H12" s="133">
        <f t="shared" si="2"/>
        <v>1620</v>
      </c>
      <c r="I12" s="126"/>
      <c r="J12" s="26"/>
    </row>
    <row r="13" spans="1:10">
      <c r="A13" s="221"/>
      <c r="B13" s="185" t="s">
        <v>308</v>
      </c>
      <c r="C13" s="185">
        <v>320</v>
      </c>
      <c r="D13" s="185">
        <v>1</v>
      </c>
      <c r="E13" s="185">
        <v>1</v>
      </c>
      <c r="F13" s="137">
        <f t="shared" si="0"/>
        <v>320</v>
      </c>
      <c r="G13" s="186">
        <v>0</v>
      </c>
      <c r="H13" s="135">
        <f t="shared" si="2"/>
        <v>0</v>
      </c>
      <c r="I13" s="26"/>
      <c r="J13" s="26"/>
    </row>
    <row r="14" spans="1:10">
      <c r="A14" s="223" t="s">
        <v>292</v>
      </c>
      <c r="B14" s="139"/>
      <c r="C14" s="139"/>
      <c r="D14" s="139"/>
      <c r="E14" s="139"/>
      <c r="F14" s="140">
        <f t="shared" si="0"/>
        <v>0</v>
      </c>
      <c r="G14" s="141">
        <v>0</v>
      </c>
      <c r="H14" s="142">
        <f t="shared" si="2"/>
        <v>0</v>
      </c>
      <c r="I14" s="26"/>
      <c r="J14" s="26"/>
    </row>
    <row r="15" spans="1:10">
      <c r="A15" s="220"/>
      <c r="B15" s="143"/>
      <c r="C15" s="143"/>
      <c r="D15" s="143"/>
      <c r="E15" s="143"/>
      <c r="F15" s="140">
        <f t="shared" si="0"/>
        <v>0</v>
      </c>
      <c r="G15" s="140">
        <v>0</v>
      </c>
      <c r="H15" s="144">
        <f t="shared" si="2"/>
        <v>0</v>
      </c>
      <c r="I15" s="26"/>
      <c r="J15" s="26"/>
    </row>
    <row r="16" spans="1:10">
      <c r="A16" s="220"/>
      <c r="B16" s="143"/>
      <c r="C16" s="143"/>
      <c r="D16" s="143"/>
      <c r="E16" s="143"/>
      <c r="F16" s="140">
        <f t="shared" si="0"/>
        <v>0</v>
      </c>
      <c r="G16" s="140">
        <v>0</v>
      </c>
      <c r="H16" s="144">
        <f t="shared" si="2"/>
        <v>0</v>
      </c>
      <c r="I16" s="26"/>
      <c r="J16" s="26"/>
    </row>
    <row r="17" spans="1:10">
      <c r="A17" s="220"/>
      <c r="B17" s="143"/>
      <c r="C17" s="143"/>
      <c r="D17" s="143"/>
      <c r="E17" s="143"/>
      <c r="F17" s="140">
        <f t="shared" si="0"/>
        <v>0</v>
      </c>
      <c r="G17" s="140">
        <v>0</v>
      </c>
      <c r="H17" s="144">
        <f t="shared" si="2"/>
        <v>0</v>
      </c>
      <c r="I17" s="26"/>
      <c r="J17" s="26"/>
    </row>
    <row r="18" spans="1:10">
      <c r="A18" s="220"/>
      <c r="B18" s="143"/>
      <c r="C18" s="143"/>
      <c r="D18" s="143"/>
      <c r="E18" s="143"/>
      <c r="F18" s="140">
        <f t="shared" si="0"/>
        <v>0</v>
      </c>
      <c r="G18" s="140">
        <v>0</v>
      </c>
      <c r="H18" s="144">
        <f t="shared" si="2"/>
        <v>0</v>
      </c>
      <c r="I18" s="26"/>
      <c r="J18" s="26"/>
    </row>
    <row r="19" spans="1:10">
      <c r="A19" s="220"/>
      <c r="B19" s="143"/>
      <c r="C19" s="143"/>
      <c r="D19" s="143"/>
      <c r="E19" s="143"/>
      <c r="F19" s="140">
        <f t="shared" si="0"/>
        <v>0</v>
      </c>
      <c r="G19" s="140">
        <v>0</v>
      </c>
      <c r="H19" s="144">
        <f t="shared" si="2"/>
        <v>0</v>
      </c>
      <c r="I19" s="26"/>
      <c r="J19" s="26"/>
    </row>
    <row r="20" spans="1:10">
      <c r="A20" s="220"/>
      <c r="B20" s="143"/>
      <c r="C20" s="143"/>
      <c r="D20" s="143"/>
      <c r="E20" s="143"/>
      <c r="F20" s="140">
        <f t="shared" si="0"/>
        <v>0</v>
      </c>
      <c r="G20" s="140">
        <v>0</v>
      </c>
      <c r="H20" s="144">
        <f t="shared" si="2"/>
        <v>0</v>
      </c>
      <c r="I20" s="26"/>
      <c r="J20" s="26"/>
    </row>
    <row r="21" spans="1:10">
      <c r="A21" s="220"/>
      <c r="B21" s="143"/>
      <c r="C21" s="143"/>
      <c r="D21" s="143"/>
      <c r="E21" s="143"/>
      <c r="F21" s="140">
        <f t="shared" si="0"/>
        <v>0</v>
      </c>
      <c r="G21" s="140">
        <v>0</v>
      </c>
      <c r="H21" s="144">
        <f t="shared" si="2"/>
        <v>0</v>
      </c>
      <c r="I21" s="26"/>
      <c r="J21" s="26"/>
    </row>
    <row r="22" spans="1:10">
      <c r="A22" s="220"/>
      <c r="B22" s="143"/>
      <c r="C22" s="143"/>
      <c r="D22" s="143"/>
      <c r="E22" s="143"/>
      <c r="F22" s="140">
        <f t="shared" si="0"/>
        <v>0</v>
      </c>
      <c r="G22" s="140">
        <v>0</v>
      </c>
      <c r="H22" s="144">
        <f t="shared" si="2"/>
        <v>0</v>
      </c>
      <c r="I22" s="26"/>
      <c r="J22" s="26"/>
    </row>
    <row r="23" spans="1:10">
      <c r="A23" s="220"/>
      <c r="B23" s="143"/>
      <c r="C23" s="143"/>
      <c r="D23" s="143"/>
      <c r="E23" s="143"/>
      <c r="F23" s="140">
        <f t="shared" si="0"/>
        <v>0</v>
      </c>
      <c r="G23" s="140">
        <v>0</v>
      </c>
      <c r="H23" s="144">
        <f t="shared" si="2"/>
        <v>0</v>
      </c>
      <c r="I23" s="26"/>
      <c r="J23" s="26"/>
    </row>
    <row r="24" spans="1:10">
      <c r="A24" s="220"/>
      <c r="B24" s="143"/>
      <c r="C24" s="143"/>
      <c r="D24" s="143"/>
      <c r="E24" s="143"/>
      <c r="F24" s="140">
        <f t="shared" si="0"/>
        <v>0</v>
      </c>
      <c r="G24" s="140">
        <v>0</v>
      </c>
      <c r="H24" s="144">
        <f t="shared" si="2"/>
        <v>0</v>
      </c>
      <c r="I24" s="26"/>
      <c r="J24" s="26"/>
    </row>
    <row r="25" spans="1:10">
      <c r="A25" s="220"/>
      <c r="B25" s="143"/>
      <c r="C25" s="143"/>
      <c r="D25" s="143"/>
      <c r="E25" s="143"/>
      <c r="F25" s="140">
        <f t="shared" si="0"/>
        <v>0</v>
      </c>
      <c r="G25" s="140">
        <v>0</v>
      </c>
      <c r="H25" s="144">
        <f t="shared" si="2"/>
        <v>0</v>
      </c>
      <c r="I25" s="26"/>
      <c r="J25" s="26"/>
    </row>
    <row r="26" spans="1:10">
      <c r="A26" s="220"/>
      <c r="B26" s="143"/>
      <c r="C26" s="143"/>
      <c r="D26" s="143"/>
      <c r="E26" s="143"/>
      <c r="F26" s="140">
        <f t="shared" si="0"/>
        <v>0</v>
      </c>
      <c r="G26" s="140">
        <v>0</v>
      </c>
      <c r="H26" s="144">
        <f t="shared" si="2"/>
        <v>0</v>
      </c>
      <c r="I26" s="26"/>
      <c r="J26" s="26"/>
    </row>
    <row r="27" spans="1:10">
      <c r="A27" s="220"/>
      <c r="B27" s="143"/>
      <c r="C27" s="143"/>
      <c r="D27" s="143"/>
      <c r="E27" s="143"/>
      <c r="F27" s="140">
        <f t="shared" si="0"/>
        <v>0</v>
      </c>
      <c r="G27" s="140">
        <v>0</v>
      </c>
      <c r="H27" s="144">
        <f t="shared" si="2"/>
        <v>0</v>
      </c>
      <c r="I27" s="26"/>
      <c r="J27" s="26"/>
    </row>
    <row r="28" spans="1:10" ht="13.2">
      <c r="A28" s="220"/>
      <c r="B28" s="143"/>
      <c r="C28" s="143"/>
      <c r="D28" s="143"/>
      <c r="E28" s="143"/>
      <c r="F28" s="140">
        <f t="shared" si="0"/>
        <v>0</v>
      </c>
      <c r="G28" s="140">
        <v>0</v>
      </c>
      <c r="H28" s="144">
        <f t="shared" si="2"/>
        <v>0</v>
      </c>
      <c r="I28" s="26"/>
      <c r="J28" s="26"/>
    </row>
    <row r="29" spans="1:10" ht="13.2">
      <c r="A29" s="220"/>
      <c r="B29" s="143"/>
      <c r="C29" s="143"/>
      <c r="D29" s="143"/>
      <c r="E29" s="143"/>
      <c r="F29" s="140">
        <f t="shared" si="0"/>
        <v>0</v>
      </c>
      <c r="G29" s="140">
        <v>0</v>
      </c>
      <c r="H29" s="144">
        <f t="shared" si="2"/>
        <v>0</v>
      </c>
      <c r="I29" s="26"/>
      <c r="J29" s="26"/>
    </row>
    <row r="30" spans="1:10" ht="13.2">
      <c r="A30" s="220"/>
      <c r="B30" s="143"/>
      <c r="C30" s="143"/>
      <c r="D30" s="143"/>
      <c r="E30" s="143"/>
      <c r="F30" s="140">
        <f t="shared" si="0"/>
        <v>0</v>
      </c>
      <c r="G30" s="140">
        <v>0</v>
      </c>
      <c r="H30" s="144">
        <f t="shared" si="2"/>
        <v>0</v>
      </c>
      <c r="I30" s="26"/>
      <c r="J30" s="26"/>
    </row>
    <row r="31" spans="1:10" ht="13.2">
      <c r="A31" s="220"/>
      <c r="B31" s="143"/>
      <c r="C31" s="143"/>
      <c r="D31" s="143"/>
      <c r="E31" s="143"/>
      <c r="F31" s="140">
        <f t="shared" si="0"/>
        <v>0</v>
      </c>
      <c r="G31" s="140">
        <v>0</v>
      </c>
      <c r="H31" s="144">
        <f t="shared" si="2"/>
        <v>0</v>
      </c>
      <c r="I31" s="26"/>
      <c r="J31" s="26"/>
    </row>
    <row r="32" spans="1:10" ht="13.2">
      <c r="A32" s="221"/>
      <c r="B32" s="145"/>
      <c r="C32" s="145"/>
      <c r="D32" s="145"/>
      <c r="E32" s="145"/>
      <c r="F32" s="146">
        <f t="shared" si="0"/>
        <v>0</v>
      </c>
      <c r="G32" s="146">
        <v>0</v>
      </c>
      <c r="H32" s="147">
        <f t="shared" si="2"/>
        <v>0</v>
      </c>
      <c r="I32" s="26"/>
      <c r="J32" s="26"/>
    </row>
    <row r="33" spans="1:10" ht="13.2">
      <c r="A33" s="224" t="s">
        <v>293</v>
      </c>
      <c r="B33" s="187" t="s">
        <v>309</v>
      </c>
      <c r="C33" s="187">
        <v>540</v>
      </c>
      <c r="D33" s="187">
        <v>1</v>
      </c>
      <c r="E33" s="187">
        <v>1</v>
      </c>
      <c r="F33" s="149">
        <f t="shared" si="0"/>
        <v>540</v>
      </c>
      <c r="G33" s="188">
        <v>1</v>
      </c>
      <c r="H33" s="151">
        <f t="shared" si="2"/>
        <v>540</v>
      </c>
      <c r="I33" s="26"/>
      <c r="J33" s="26"/>
    </row>
    <row r="34" spans="1:10" ht="13.2">
      <c r="A34" s="220"/>
      <c r="B34" s="152"/>
      <c r="C34" s="152"/>
      <c r="D34" s="152"/>
      <c r="E34" s="152"/>
      <c r="F34" s="149">
        <f t="shared" si="0"/>
        <v>0</v>
      </c>
      <c r="G34" s="149">
        <v>0</v>
      </c>
      <c r="H34" s="153">
        <f t="shared" si="2"/>
        <v>0</v>
      </c>
      <c r="I34" s="26"/>
      <c r="J34" s="26"/>
    </row>
    <row r="35" spans="1:10" ht="13.2">
      <c r="A35" s="220"/>
      <c r="B35" s="152"/>
      <c r="C35" s="152"/>
      <c r="D35" s="152"/>
      <c r="E35" s="152"/>
      <c r="F35" s="149">
        <f t="shared" si="0"/>
        <v>0</v>
      </c>
      <c r="G35" s="149">
        <v>0</v>
      </c>
      <c r="H35" s="153">
        <f t="shared" si="2"/>
        <v>0</v>
      </c>
      <c r="I35" s="26"/>
      <c r="J35" s="26"/>
    </row>
    <row r="36" spans="1:10" ht="13.2">
      <c r="A36" s="220"/>
      <c r="B36" s="152"/>
      <c r="C36" s="152"/>
      <c r="D36" s="152"/>
      <c r="E36" s="152"/>
      <c r="F36" s="149">
        <f t="shared" si="0"/>
        <v>0</v>
      </c>
      <c r="G36" s="149">
        <v>0</v>
      </c>
      <c r="H36" s="153">
        <f t="shared" si="2"/>
        <v>0</v>
      </c>
      <c r="I36" s="26"/>
      <c r="J36" s="26"/>
    </row>
    <row r="37" spans="1:10" ht="13.2">
      <c r="A37" s="220"/>
      <c r="B37" s="152"/>
      <c r="C37" s="152"/>
      <c r="D37" s="152"/>
      <c r="E37" s="152"/>
      <c r="F37" s="149">
        <f t="shared" si="0"/>
        <v>0</v>
      </c>
      <c r="G37" s="149">
        <v>0</v>
      </c>
      <c r="H37" s="153">
        <f t="shared" si="2"/>
        <v>0</v>
      </c>
      <c r="I37" s="26"/>
      <c r="J37" s="26"/>
    </row>
    <row r="38" spans="1:10" ht="13.2">
      <c r="A38" s="220"/>
      <c r="B38" s="152"/>
      <c r="C38" s="152"/>
      <c r="D38" s="152"/>
      <c r="E38" s="152"/>
      <c r="F38" s="149">
        <f t="shared" si="0"/>
        <v>0</v>
      </c>
      <c r="G38" s="149">
        <v>0</v>
      </c>
      <c r="H38" s="153">
        <f t="shared" si="2"/>
        <v>0</v>
      </c>
      <c r="I38" s="26"/>
      <c r="J38" s="26"/>
    </row>
    <row r="39" spans="1:10" ht="13.2">
      <c r="A39" s="220"/>
      <c r="B39" s="152"/>
      <c r="C39" s="152"/>
      <c r="D39" s="152"/>
      <c r="E39" s="152"/>
      <c r="F39" s="149">
        <f t="shared" si="0"/>
        <v>0</v>
      </c>
      <c r="G39" s="149">
        <v>0</v>
      </c>
      <c r="H39" s="153">
        <f t="shared" si="2"/>
        <v>0</v>
      </c>
      <c r="I39" s="26"/>
      <c r="J39" s="26"/>
    </row>
    <row r="40" spans="1:10" ht="13.2">
      <c r="A40" s="220"/>
      <c r="B40" s="152"/>
      <c r="C40" s="152"/>
      <c r="D40" s="152"/>
      <c r="E40" s="152"/>
      <c r="F40" s="149">
        <f t="shared" si="0"/>
        <v>0</v>
      </c>
      <c r="G40" s="149">
        <v>0</v>
      </c>
      <c r="H40" s="153">
        <f t="shared" si="2"/>
        <v>0</v>
      </c>
      <c r="I40" s="26"/>
      <c r="J40" s="26"/>
    </row>
    <row r="41" spans="1:10" ht="13.2">
      <c r="A41" s="220"/>
      <c r="B41" s="152"/>
      <c r="C41" s="152"/>
      <c r="D41" s="152"/>
      <c r="E41" s="152"/>
      <c r="F41" s="149">
        <f t="shared" si="0"/>
        <v>0</v>
      </c>
      <c r="G41" s="149">
        <v>0</v>
      </c>
      <c r="H41" s="153">
        <f t="shared" si="2"/>
        <v>0</v>
      </c>
      <c r="I41" s="26"/>
      <c r="J41" s="26"/>
    </row>
    <row r="42" spans="1:10" ht="13.2">
      <c r="A42" s="220"/>
      <c r="B42" s="152"/>
      <c r="C42" s="152"/>
      <c r="D42" s="152"/>
      <c r="E42" s="152"/>
      <c r="F42" s="149">
        <f t="shared" si="0"/>
        <v>0</v>
      </c>
      <c r="G42" s="149">
        <v>0</v>
      </c>
      <c r="H42" s="153">
        <f t="shared" si="2"/>
        <v>0</v>
      </c>
      <c r="I42" s="26"/>
      <c r="J42" s="26"/>
    </row>
    <row r="43" spans="1:10" ht="13.2">
      <c r="A43" s="220"/>
      <c r="B43" s="152"/>
      <c r="C43" s="152"/>
      <c r="D43" s="152"/>
      <c r="E43" s="152"/>
      <c r="F43" s="149">
        <f t="shared" si="0"/>
        <v>0</v>
      </c>
      <c r="G43" s="149">
        <v>0</v>
      </c>
      <c r="H43" s="153">
        <f t="shared" si="2"/>
        <v>0</v>
      </c>
      <c r="I43" s="26"/>
      <c r="J43" s="26"/>
    </row>
    <row r="44" spans="1:10" ht="13.2">
      <c r="A44" s="220"/>
      <c r="B44" s="152"/>
      <c r="C44" s="152"/>
      <c r="D44" s="152"/>
      <c r="E44" s="152"/>
      <c r="F44" s="149">
        <f t="shared" si="0"/>
        <v>0</v>
      </c>
      <c r="G44" s="149">
        <v>0</v>
      </c>
      <c r="H44" s="153">
        <f t="shared" si="2"/>
        <v>0</v>
      </c>
      <c r="I44" s="26"/>
      <c r="J44" s="26"/>
    </row>
    <row r="45" spans="1:10" ht="13.2">
      <c r="A45" s="220"/>
      <c r="B45" s="152"/>
      <c r="C45" s="152"/>
      <c r="D45" s="152"/>
      <c r="E45" s="152"/>
      <c r="F45" s="149">
        <f t="shared" si="0"/>
        <v>0</v>
      </c>
      <c r="G45" s="149">
        <v>0</v>
      </c>
      <c r="H45" s="153">
        <f t="shared" si="2"/>
        <v>0</v>
      </c>
      <c r="I45" s="26"/>
      <c r="J45" s="26"/>
    </row>
    <row r="46" spans="1:10" ht="13.2">
      <c r="A46" s="220"/>
      <c r="B46" s="152"/>
      <c r="C46" s="152"/>
      <c r="D46" s="152"/>
      <c r="E46" s="152"/>
      <c r="F46" s="149">
        <f t="shared" si="0"/>
        <v>0</v>
      </c>
      <c r="G46" s="149">
        <v>0</v>
      </c>
      <c r="H46" s="153">
        <v>0</v>
      </c>
      <c r="I46" s="26"/>
      <c r="J46" s="26"/>
    </row>
    <row r="47" spans="1:10" ht="13.2">
      <c r="A47" s="220"/>
      <c r="B47" s="152"/>
      <c r="C47" s="152"/>
      <c r="D47" s="152"/>
      <c r="E47" s="152"/>
      <c r="F47" s="149">
        <f t="shared" si="0"/>
        <v>0</v>
      </c>
      <c r="G47" s="149">
        <v>0</v>
      </c>
      <c r="H47" s="153">
        <v>0</v>
      </c>
      <c r="I47" s="26"/>
      <c r="J47" s="26"/>
    </row>
    <row r="48" spans="1:10" ht="13.2">
      <c r="A48" s="220"/>
      <c r="B48" s="152"/>
      <c r="C48" s="152"/>
      <c r="D48" s="152"/>
      <c r="E48" s="152"/>
      <c r="F48" s="149">
        <f t="shared" si="0"/>
        <v>0</v>
      </c>
      <c r="G48" s="149">
        <v>0</v>
      </c>
      <c r="H48" s="153">
        <v>0</v>
      </c>
      <c r="I48" s="26"/>
      <c r="J48" s="26"/>
    </row>
    <row r="49" spans="1:10" ht="13.2">
      <c r="A49" s="220"/>
      <c r="B49" s="152"/>
      <c r="C49" s="152"/>
      <c r="D49" s="152"/>
      <c r="E49" s="152"/>
      <c r="F49" s="149">
        <f t="shared" si="0"/>
        <v>0</v>
      </c>
      <c r="G49" s="149">
        <v>0</v>
      </c>
      <c r="H49" s="153">
        <v>0</v>
      </c>
      <c r="I49" s="26"/>
      <c r="J49" s="26"/>
    </row>
    <row r="50" spans="1:10" ht="13.2">
      <c r="A50" s="220"/>
      <c r="B50" s="152"/>
      <c r="C50" s="152"/>
      <c r="D50" s="152"/>
      <c r="E50" s="152"/>
      <c r="F50" s="149">
        <f t="shared" si="0"/>
        <v>0</v>
      </c>
      <c r="G50" s="149">
        <v>0</v>
      </c>
      <c r="H50" s="153">
        <v>0</v>
      </c>
      <c r="I50" s="26"/>
      <c r="J50" s="26"/>
    </row>
    <row r="51" spans="1:10" ht="13.2">
      <c r="A51" s="220"/>
      <c r="B51" s="152"/>
      <c r="C51" s="152"/>
      <c r="D51" s="152"/>
      <c r="E51" s="152"/>
      <c r="F51" s="149">
        <f t="shared" si="0"/>
        <v>0</v>
      </c>
      <c r="G51" s="149">
        <v>0</v>
      </c>
      <c r="H51" s="153">
        <f t="shared" ref="H51:H72" si="3">G51*C51</f>
        <v>0</v>
      </c>
      <c r="I51" s="26"/>
      <c r="J51" s="26"/>
    </row>
    <row r="52" spans="1:10" ht="13.2">
      <c r="A52" s="220"/>
      <c r="B52" s="152"/>
      <c r="C52" s="152"/>
      <c r="D52" s="152"/>
      <c r="E52" s="152"/>
      <c r="F52" s="149">
        <f t="shared" si="0"/>
        <v>0</v>
      </c>
      <c r="G52" s="149">
        <v>0</v>
      </c>
      <c r="H52" s="153">
        <f t="shared" si="3"/>
        <v>0</v>
      </c>
      <c r="I52" s="26"/>
      <c r="J52" s="26"/>
    </row>
    <row r="53" spans="1:10" ht="13.2">
      <c r="A53" s="220"/>
      <c r="B53" s="152"/>
      <c r="C53" s="152"/>
      <c r="D53" s="152"/>
      <c r="E53" s="152"/>
      <c r="F53" s="149">
        <f t="shared" si="0"/>
        <v>0</v>
      </c>
      <c r="G53" s="149">
        <v>0</v>
      </c>
      <c r="H53" s="153">
        <f t="shared" si="3"/>
        <v>0</v>
      </c>
      <c r="I53" s="26"/>
      <c r="J53" s="26"/>
    </row>
    <row r="54" spans="1:10" ht="13.2">
      <c r="A54" s="220"/>
      <c r="B54" s="152"/>
      <c r="C54" s="152"/>
      <c r="D54" s="152"/>
      <c r="E54" s="152"/>
      <c r="F54" s="149">
        <f t="shared" si="0"/>
        <v>0</v>
      </c>
      <c r="G54" s="149">
        <v>0</v>
      </c>
      <c r="H54" s="153">
        <f t="shared" si="3"/>
        <v>0</v>
      </c>
      <c r="I54" s="26"/>
      <c r="J54" s="26"/>
    </row>
    <row r="55" spans="1:10" ht="13.2">
      <c r="A55" s="221"/>
      <c r="B55" s="154"/>
      <c r="C55" s="154"/>
      <c r="D55" s="154"/>
      <c r="E55" s="154"/>
      <c r="F55" s="155">
        <f t="shared" si="0"/>
        <v>0</v>
      </c>
      <c r="G55" s="155">
        <v>0</v>
      </c>
      <c r="H55" s="156">
        <f t="shared" si="3"/>
        <v>0</v>
      </c>
      <c r="I55" s="26"/>
      <c r="J55" s="26"/>
    </row>
    <row r="56" spans="1:10" ht="13.2">
      <c r="A56" s="225" t="s">
        <v>294</v>
      </c>
      <c r="B56" s="120"/>
      <c r="C56" s="120"/>
      <c r="D56" s="120"/>
      <c r="E56" s="120"/>
      <c r="F56" s="121">
        <f t="shared" si="0"/>
        <v>0</v>
      </c>
      <c r="G56" s="122">
        <v>0</v>
      </c>
      <c r="H56" s="123">
        <f t="shared" si="3"/>
        <v>0</v>
      </c>
      <c r="I56" s="26"/>
      <c r="J56" s="26"/>
    </row>
    <row r="57" spans="1:10" ht="13.2">
      <c r="A57" s="220"/>
      <c r="B57" s="124"/>
      <c r="C57" s="124"/>
      <c r="D57" s="124"/>
      <c r="E57" s="124"/>
      <c r="F57" s="121">
        <f t="shared" si="0"/>
        <v>0</v>
      </c>
      <c r="G57" s="121">
        <v>0</v>
      </c>
      <c r="H57" s="125">
        <f t="shared" si="3"/>
        <v>0</v>
      </c>
      <c r="I57" s="26"/>
      <c r="J57" s="26"/>
    </row>
    <row r="58" spans="1:10" ht="13.2">
      <c r="A58" s="220"/>
      <c r="B58" s="124"/>
      <c r="C58" s="124"/>
      <c r="D58" s="124"/>
      <c r="E58" s="124"/>
      <c r="F58" s="121">
        <f t="shared" si="0"/>
        <v>0</v>
      </c>
      <c r="G58" s="121">
        <v>0</v>
      </c>
      <c r="H58" s="125">
        <f t="shared" si="3"/>
        <v>0</v>
      </c>
      <c r="I58" s="26"/>
      <c r="J58" s="26"/>
    </row>
    <row r="59" spans="1:10" ht="13.2">
      <c r="A59" s="220"/>
      <c r="B59" s="124"/>
      <c r="C59" s="124"/>
      <c r="D59" s="124"/>
      <c r="E59" s="124"/>
      <c r="F59" s="121">
        <f t="shared" si="0"/>
        <v>0</v>
      </c>
      <c r="G59" s="121">
        <v>0</v>
      </c>
      <c r="H59" s="125">
        <f t="shared" si="3"/>
        <v>0</v>
      </c>
      <c r="I59" s="26"/>
      <c r="J59" s="26"/>
    </row>
    <row r="60" spans="1:10" ht="13.2">
      <c r="A60" s="220"/>
      <c r="B60" s="124"/>
      <c r="C60" s="124"/>
      <c r="D60" s="124"/>
      <c r="E60" s="124"/>
      <c r="F60" s="121">
        <f t="shared" si="0"/>
        <v>0</v>
      </c>
      <c r="G60" s="121">
        <v>0</v>
      </c>
      <c r="H60" s="125">
        <f t="shared" si="3"/>
        <v>0</v>
      </c>
      <c r="I60" s="26"/>
      <c r="J60" s="26"/>
    </row>
    <row r="61" spans="1:10" ht="13.2">
      <c r="A61" s="220"/>
      <c r="B61" s="124"/>
      <c r="C61" s="124"/>
      <c r="D61" s="124"/>
      <c r="E61" s="124"/>
      <c r="F61" s="121">
        <f t="shared" si="0"/>
        <v>0</v>
      </c>
      <c r="G61" s="121">
        <v>0</v>
      </c>
      <c r="H61" s="125">
        <f t="shared" si="3"/>
        <v>0</v>
      </c>
      <c r="I61" s="26"/>
      <c r="J61" s="26"/>
    </row>
    <row r="62" spans="1:10" ht="13.2">
      <c r="A62" s="220"/>
      <c r="B62" s="124"/>
      <c r="C62" s="124"/>
      <c r="D62" s="124"/>
      <c r="E62" s="124"/>
      <c r="F62" s="121">
        <f t="shared" si="0"/>
        <v>0</v>
      </c>
      <c r="G62" s="121">
        <v>0</v>
      </c>
      <c r="H62" s="125">
        <f t="shared" si="3"/>
        <v>0</v>
      </c>
      <c r="I62" s="26"/>
      <c r="J62" s="26"/>
    </row>
    <row r="63" spans="1:10" ht="13.2">
      <c r="A63" s="220"/>
      <c r="B63" s="124"/>
      <c r="C63" s="124"/>
      <c r="D63" s="124"/>
      <c r="E63" s="124"/>
      <c r="F63" s="121">
        <f t="shared" si="0"/>
        <v>0</v>
      </c>
      <c r="G63" s="121">
        <v>0</v>
      </c>
      <c r="H63" s="125">
        <f t="shared" si="3"/>
        <v>0</v>
      </c>
      <c r="I63" s="26"/>
      <c r="J63" s="26"/>
    </row>
    <row r="64" spans="1:10" ht="13.2">
      <c r="A64" s="220"/>
      <c r="B64" s="124"/>
      <c r="C64" s="124"/>
      <c r="D64" s="124"/>
      <c r="E64" s="124"/>
      <c r="F64" s="121">
        <f t="shared" si="0"/>
        <v>0</v>
      </c>
      <c r="G64" s="121">
        <v>0</v>
      </c>
      <c r="H64" s="125">
        <f t="shared" si="3"/>
        <v>0</v>
      </c>
      <c r="I64" s="26"/>
      <c r="J64" s="26"/>
    </row>
    <row r="65" spans="1:10" ht="13.2">
      <c r="A65" s="220"/>
      <c r="B65" s="124"/>
      <c r="C65" s="124"/>
      <c r="D65" s="124"/>
      <c r="E65" s="124"/>
      <c r="F65" s="121">
        <f t="shared" si="0"/>
        <v>0</v>
      </c>
      <c r="G65" s="121">
        <v>0</v>
      </c>
      <c r="H65" s="125">
        <f t="shared" si="3"/>
        <v>0</v>
      </c>
      <c r="I65" s="26"/>
      <c r="J65" s="26"/>
    </row>
    <row r="66" spans="1:10" ht="13.2">
      <c r="A66" s="220"/>
      <c r="B66" s="124"/>
      <c r="C66" s="124"/>
      <c r="D66" s="124"/>
      <c r="E66" s="124"/>
      <c r="F66" s="121">
        <f t="shared" si="0"/>
        <v>0</v>
      </c>
      <c r="G66" s="121">
        <v>0</v>
      </c>
      <c r="H66" s="125">
        <f t="shared" si="3"/>
        <v>0</v>
      </c>
      <c r="I66" s="26"/>
      <c r="J66" s="26"/>
    </row>
    <row r="67" spans="1:10" ht="13.2">
      <c r="A67" s="220"/>
      <c r="B67" s="124"/>
      <c r="C67" s="124"/>
      <c r="D67" s="124"/>
      <c r="E67" s="124"/>
      <c r="F67" s="121">
        <f t="shared" si="0"/>
        <v>0</v>
      </c>
      <c r="G67" s="121">
        <v>0</v>
      </c>
      <c r="H67" s="125">
        <f t="shared" si="3"/>
        <v>0</v>
      </c>
      <c r="I67" s="26"/>
      <c r="J67" s="26"/>
    </row>
    <row r="68" spans="1:10" ht="13.2">
      <c r="A68" s="221"/>
      <c r="B68" s="127"/>
      <c r="C68" s="127"/>
      <c r="D68" s="127"/>
      <c r="E68" s="127"/>
      <c r="F68" s="128">
        <f t="shared" si="0"/>
        <v>0</v>
      </c>
      <c r="G68" s="128">
        <v>0</v>
      </c>
      <c r="H68" s="129">
        <f t="shared" si="3"/>
        <v>0</v>
      </c>
      <c r="I68" s="26"/>
      <c r="J68" s="26"/>
    </row>
    <row r="69" spans="1:10" ht="13.2">
      <c r="A69" s="226" t="s">
        <v>295</v>
      </c>
      <c r="B69" s="157"/>
      <c r="C69" s="157"/>
      <c r="D69" s="157"/>
      <c r="E69" s="157"/>
      <c r="F69" s="158">
        <f t="shared" si="0"/>
        <v>0</v>
      </c>
      <c r="G69" s="159">
        <v>0</v>
      </c>
      <c r="H69" s="160">
        <f t="shared" si="3"/>
        <v>0</v>
      </c>
      <c r="I69" s="26"/>
      <c r="J69" s="26"/>
    </row>
    <row r="70" spans="1:10" ht="13.2">
      <c r="A70" s="220"/>
      <c r="B70" s="161"/>
      <c r="C70" s="161"/>
      <c r="D70" s="161"/>
      <c r="E70" s="161"/>
      <c r="F70" s="158">
        <f t="shared" si="0"/>
        <v>0</v>
      </c>
      <c r="G70" s="158">
        <v>0</v>
      </c>
      <c r="H70" s="162">
        <f t="shared" si="3"/>
        <v>0</v>
      </c>
      <c r="I70" s="26"/>
      <c r="J70" s="26"/>
    </row>
    <row r="71" spans="1:10" ht="13.2">
      <c r="A71" s="220"/>
      <c r="B71" s="161"/>
      <c r="C71" s="161"/>
      <c r="D71" s="161"/>
      <c r="E71" s="161"/>
      <c r="F71" s="158">
        <f t="shared" si="0"/>
        <v>0</v>
      </c>
      <c r="G71" s="158">
        <v>0</v>
      </c>
      <c r="H71" s="162">
        <f t="shared" si="3"/>
        <v>0</v>
      </c>
      <c r="I71" s="26"/>
      <c r="J71" s="26"/>
    </row>
    <row r="72" spans="1:10" ht="13.2">
      <c r="A72" s="220"/>
      <c r="B72" s="161"/>
      <c r="C72" s="161"/>
      <c r="D72" s="161"/>
      <c r="E72" s="161"/>
      <c r="F72" s="158">
        <f t="shared" si="0"/>
        <v>0</v>
      </c>
      <c r="G72" s="158">
        <v>0</v>
      </c>
      <c r="H72" s="162">
        <f t="shared" si="3"/>
        <v>0</v>
      </c>
      <c r="I72" s="26"/>
      <c r="J72" s="26"/>
    </row>
    <row r="73" spans="1:10" ht="13.2">
      <c r="A73" s="221"/>
      <c r="B73" s="163"/>
      <c r="C73" s="163"/>
      <c r="D73" s="163"/>
      <c r="E73" s="163"/>
      <c r="F73" s="164">
        <f t="shared" si="0"/>
        <v>0</v>
      </c>
      <c r="G73" s="164">
        <v>0</v>
      </c>
      <c r="H73" s="165">
        <v>0</v>
      </c>
      <c r="I73" s="26"/>
      <c r="J73" s="26"/>
    </row>
    <row r="74" spans="1:10" ht="13.2">
      <c r="A74" s="227" t="s">
        <v>296</v>
      </c>
      <c r="B74" s="166"/>
      <c r="C74" s="166"/>
      <c r="D74" s="166"/>
      <c r="E74" s="166"/>
      <c r="F74" s="167">
        <f t="shared" si="0"/>
        <v>0</v>
      </c>
      <c r="G74" s="168">
        <v>0</v>
      </c>
      <c r="H74" s="169">
        <f t="shared" ref="H74:H102" si="4">G74*C74</f>
        <v>0</v>
      </c>
      <c r="I74" s="26"/>
      <c r="J74" s="26"/>
    </row>
    <row r="75" spans="1:10" ht="13.2">
      <c r="A75" s="220"/>
      <c r="B75" s="170"/>
      <c r="C75" s="170"/>
      <c r="D75" s="170"/>
      <c r="E75" s="170"/>
      <c r="F75" s="167">
        <f t="shared" si="0"/>
        <v>0</v>
      </c>
      <c r="G75" s="167">
        <v>0</v>
      </c>
      <c r="H75" s="171">
        <f t="shared" si="4"/>
        <v>0</v>
      </c>
      <c r="I75" s="26"/>
      <c r="J75" s="26"/>
    </row>
    <row r="76" spans="1:10" ht="13.2">
      <c r="A76" s="220"/>
      <c r="B76" s="170"/>
      <c r="C76" s="170"/>
      <c r="D76" s="170"/>
      <c r="E76" s="170"/>
      <c r="F76" s="167">
        <f t="shared" si="0"/>
        <v>0</v>
      </c>
      <c r="G76" s="167">
        <v>0</v>
      </c>
      <c r="H76" s="171">
        <f t="shared" si="4"/>
        <v>0</v>
      </c>
      <c r="I76" s="26"/>
      <c r="J76" s="26"/>
    </row>
    <row r="77" spans="1:10" ht="13.2">
      <c r="A77" s="220"/>
      <c r="B77" s="170"/>
      <c r="C77" s="170"/>
      <c r="D77" s="170"/>
      <c r="E77" s="170"/>
      <c r="F77" s="167">
        <f t="shared" si="0"/>
        <v>0</v>
      </c>
      <c r="G77" s="167">
        <v>0</v>
      </c>
      <c r="H77" s="171">
        <f t="shared" si="4"/>
        <v>0</v>
      </c>
      <c r="I77" s="26"/>
      <c r="J77" s="26"/>
    </row>
    <row r="78" spans="1:10" ht="13.2">
      <c r="A78" s="220"/>
      <c r="B78" s="170"/>
      <c r="C78" s="170"/>
      <c r="D78" s="170"/>
      <c r="E78" s="170"/>
      <c r="F78" s="167">
        <f t="shared" si="0"/>
        <v>0</v>
      </c>
      <c r="G78" s="167">
        <v>0</v>
      </c>
      <c r="H78" s="171">
        <f t="shared" si="4"/>
        <v>0</v>
      </c>
      <c r="I78" s="26"/>
      <c r="J78" s="26"/>
    </row>
    <row r="79" spans="1:10" ht="13.2">
      <c r="A79" s="220"/>
      <c r="B79" s="170"/>
      <c r="C79" s="170"/>
      <c r="D79" s="170"/>
      <c r="E79" s="170"/>
      <c r="F79" s="167">
        <f t="shared" si="0"/>
        <v>0</v>
      </c>
      <c r="G79" s="167">
        <v>0</v>
      </c>
      <c r="H79" s="171">
        <f t="shared" si="4"/>
        <v>0</v>
      </c>
      <c r="I79" s="26"/>
      <c r="J79" s="26" t="s">
        <v>184</v>
      </c>
    </row>
    <row r="80" spans="1:10" ht="13.2">
      <c r="A80" s="220"/>
      <c r="B80" s="170"/>
      <c r="C80" s="170"/>
      <c r="D80" s="170"/>
      <c r="E80" s="170"/>
      <c r="F80" s="167">
        <f t="shared" si="0"/>
        <v>0</v>
      </c>
      <c r="G80" s="167">
        <v>0</v>
      </c>
      <c r="H80" s="171">
        <f t="shared" si="4"/>
        <v>0</v>
      </c>
      <c r="I80" s="26"/>
      <c r="J80" s="26"/>
    </row>
    <row r="81" spans="1:10" ht="13.2">
      <c r="A81" s="220"/>
      <c r="B81" s="170"/>
      <c r="C81" s="170"/>
      <c r="D81" s="170"/>
      <c r="E81" s="170"/>
      <c r="F81" s="167">
        <f t="shared" si="0"/>
        <v>0</v>
      </c>
      <c r="G81" s="167">
        <v>0</v>
      </c>
      <c r="H81" s="171">
        <f t="shared" si="4"/>
        <v>0</v>
      </c>
      <c r="I81" s="26"/>
      <c r="J81" s="26"/>
    </row>
    <row r="82" spans="1:10" ht="13.2">
      <c r="A82" s="220"/>
      <c r="B82" s="170"/>
      <c r="C82" s="170"/>
      <c r="D82" s="170"/>
      <c r="E82" s="170"/>
      <c r="F82" s="167">
        <f t="shared" si="0"/>
        <v>0</v>
      </c>
      <c r="G82" s="167">
        <v>0</v>
      </c>
      <c r="H82" s="171">
        <f t="shared" si="4"/>
        <v>0</v>
      </c>
      <c r="I82" s="26"/>
      <c r="J82" s="26"/>
    </row>
    <row r="83" spans="1:10" ht="13.2">
      <c r="A83" s="220"/>
      <c r="B83" s="170"/>
      <c r="C83" s="170"/>
      <c r="D83" s="170"/>
      <c r="E83" s="170"/>
      <c r="F83" s="167">
        <f t="shared" si="0"/>
        <v>0</v>
      </c>
      <c r="G83" s="167">
        <v>0</v>
      </c>
      <c r="H83" s="171">
        <f t="shared" si="4"/>
        <v>0</v>
      </c>
      <c r="I83" s="26"/>
      <c r="J83" s="26"/>
    </row>
    <row r="84" spans="1:10" ht="13.2">
      <c r="A84" s="220"/>
      <c r="B84" s="170"/>
      <c r="C84" s="170"/>
      <c r="D84" s="170"/>
      <c r="E84" s="170"/>
      <c r="F84" s="167">
        <f t="shared" si="0"/>
        <v>0</v>
      </c>
      <c r="G84" s="167">
        <v>0</v>
      </c>
      <c r="H84" s="171">
        <f t="shared" si="4"/>
        <v>0</v>
      </c>
      <c r="I84" s="26"/>
      <c r="J84" s="26"/>
    </row>
    <row r="85" spans="1:10" ht="13.2">
      <c r="A85" s="220"/>
      <c r="B85" s="170"/>
      <c r="C85" s="170"/>
      <c r="D85" s="170"/>
      <c r="E85" s="170"/>
      <c r="F85" s="167">
        <f t="shared" si="0"/>
        <v>0</v>
      </c>
      <c r="G85" s="167">
        <v>0</v>
      </c>
      <c r="H85" s="171">
        <f t="shared" si="4"/>
        <v>0</v>
      </c>
      <c r="I85" s="26"/>
      <c r="J85" s="26"/>
    </row>
    <row r="86" spans="1:10" ht="13.2">
      <c r="A86" s="220"/>
      <c r="B86" s="170"/>
      <c r="C86" s="170"/>
      <c r="D86" s="170"/>
      <c r="E86" s="170"/>
      <c r="F86" s="167">
        <f t="shared" si="0"/>
        <v>0</v>
      </c>
      <c r="G86" s="167">
        <v>0</v>
      </c>
      <c r="H86" s="171">
        <f t="shared" si="4"/>
        <v>0</v>
      </c>
      <c r="I86" s="26"/>
      <c r="J86" s="26"/>
    </row>
    <row r="87" spans="1:10" ht="13.2">
      <c r="A87" s="220"/>
      <c r="B87" s="170"/>
      <c r="C87" s="170"/>
      <c r="D87" s="170"/>
      <c r="E87" s="170"/>
      <c r="F87" s="167">
        <f t="shared" si="0"/>
        <v>0</v>
      </c>
      <c r="G87" s="167">
        <v>0</v>
      </c>
      <c r="H87" s="171">
        <f t="shared" si="4"/>
        <v>0</v>
      </c>
      <c r="I87" s="26"/>
      <c r="J87" s="26"/>
    </row>
    <row r="88" spans="1:10" ht="13.2">
      <c r="A88" s="220"/>
      <c r="B88" s="170"/>
      <c r="C88" s="170"/>
      <c r="D88" s="170"/>
      <c r="E88" s="170"/>
      <c r="F88" s="167">
        <f t="shared" si="0"/>
        <v>0</v>
      </c>
      <c r="G88" s="167">
        <v>0</v>
      </c>
      <c r="H88" s="171">
        <f t="shared" si="4"/>
        <v>0</v>
      </c>
      <c r="I88" s="26"/>
      <c r="J88" s="26"/>
    </row>
    <row r="89" spans="1:10" ht="13.2">
      <c r="A89" s="220"/>
      <c r="B89" s="170"/>
      <c r="C89" s="170"/>
      <c r="D89" s="170"/>
      <c r="E89" s="170"/>
      <c r="F89" s="167">
        <f t="shared" si="0"/>
        <v>0</v>
      </c>
      <c r="G89" s="167">
        <v>0</v>
      </c>
      <c r="H89" s="171">
        <f t="shared" si="4"/>
        <v>0</v>
      </c>
      <c r="I89" s="26"/>
      <c r="J89" s="26"/>
    </row>
    <row r="90" spans="1:10" ht="13.2">
      <c r="A90" s="220"/>
      <c r="B90" s="170"/>
      <c r="C90" s="170"/>
      <c r="D90" s="170"/>
      <c r="E90" s="170"/>
      <c r="F90" s="167">
        <f t="shared" si="0"/>
        <v>0</v>
      </c>
      <c r="G90" s="167">
        <v>0</v>
      </c>
      <c r="H90" s="171">
        <f t="shared" si="4"/>
        <v>0</v>
      </c>
      <c r="I90" s="26"/>
      <c r="J90" s="26"/>
    </row>
    <row r="91" spans="1:10" ht="13.2">
      <c r="A91" s="220"/>
      <c r="B91" s="170"/>
      <c r="C91" s="170"/>
      <c r="D91" s="170"/>
      <c r="E91" s="170"/>
      <c r="F91" s="167">
        <f t="shared" si="0"/>
        <v>0</v>
      </c>
      <c r="G91" s="167">
        <v>0</v>
      </c>
      <c r="H91" s="171">
        <f t="shared" si="4"/>
        <v>0</v>
      </c>
      <c r="I91" s="26"/>
      <c r="J91" s="26"/>
    </row>
    <row r="92" spans="1:10" ht="13.2">
      <c r="A92" s="220"/>
      <c r="B92" s="170"/>
      <c r="C92" s="170"/>
      <c r="D92" s="170"/>
      <c r="E92" s="170"/>
      <c r="F92" s="167">
        <f t="shared" si="0"/>
        <v>0</v>
      </c>
      <c r="G92" s="167">
        <v>0</v>
      </c>
      <c r="H92" s="171">
        <f t="shared" si="4"/>
        <v>0</v>
      </c>
      <c r="I92" s="26"/>
      <c r="J92" s="26"/>
    </row>
    <row r="93" spans="1:10" ht="13.2">
      <c r="A93" s="220"/>
      <c r="B93" s="170"/>
      <c r="C93" s="170"/>
      <c r="D93" s="170"/>
      <c r="E93" s="170"/>
      <c r="F93" s="167">
        <f t="shared" si="0"/>
        <v>0</v>
      </c>
      <c r="G93" s="167">
        <v>0</v>
      </c>
      <c r="H93" s="171">
        <f t="shared" si="4"/>
        <v>0</v>
      </c>
      <c r="I93" s="26"/>
      <c r="J93" s="26"/>
    </row>
    <row r="94" spans="1:10" ht="13.2">
      <c r="A94" s="220"/>
      <c r="B94" s="170"/>
      <c r="C94" s="170"/>
      <c r="D94" s="170"/>
      <c r="E94" s="170"/>
      <c r="F94" s="167">
        <f t="shared" si="0"/>
        <v>0</v>
      </c>
      <c r="G94" s="167">
        <v>0</v>
      </c>
      <c r="H94" s="171">
        <f t="shared" si="4"/>
        <v>0</v>
      </c>
      <c r="I94" s="26"/>
      <c r="J94" s="26"/>
    </row>
    <row r="95" spans="1:10" ht="13.2">
      <c r="A95" s="220"/>
      <c r="B95" s="170"/>
      <c r="C95" s="170"/>
      <c r="D95" s="170"/>
      <c r="E95" s="170"/>
      <c r="F95" s="167">
        <f t="shared" si="0"/>
        <v>0</v>
      </c>
      <c r="G95" s="167">
        <v>0</v>
      </c>
      <c r="H95" s="171">
        <f t="shared" si="4"/>
        <v>0</v>
      </c>
      <c r="I95" s="26"/>
      <c r="J95" s="26"/>
    </row>
    <row r="96" spans="1:10" ht="13.2">
      <c r="A96" s="220"/>
      <c r="B96" s="170"/>
      <c r="C96" s="170"/>
      <c r="D96" s="170"/>
      <c r="E96" s="170"/>
      <c r="F96" s="167">
        <f t="shared" si="0"/>
        <v>0</v>
      </c>
      <c r="G96" s="167">
        <v>0</v>
      </c>
      <c r="H96" s="171">
        <f t="shared" si="4"/>
        <v>0</v>
      </c>
      <c r="I96" s="26"/>
      <c r="J96" s="26"/>
    </row>
    <row r="97" spans="1:10" ht="13.2">
      <c r="A97" s="220"/>
      <c r="B97" s="170"/>
      <c r="C97" s="170"/>
      <c r="D97" s="170"/>
      <c r="E97" s="170"/>
      <c r="F97" s="167">
        <f t="shared" si="0"/>
        <v>0</v>
      </c>
      <c r="G97" s="167">
        <v>0</v>
      </c>
      <c r="H97" s="171">
        <f t="shared" si="4"/>
        <v>0</v>
      </c>
      <c r="I97" s="26"/>
      <c r="J97" s="26"/>
    </row>
    <row r="98" spans="1:10" ht="13.2">
      <c r="A98" s="220"/>
      <c r="B98" s="170"/>
      <c r="C98" s="170"/>
      <c r="D98" s="170"/>
      <c r="E98" s="170"/>
      <c r="F98" s="167">
        <f t="shared" si="0"/>
        <v>0</v>
      </c>
      <c r="G98" s="167">
        <v>0</v>
      </c>
      <c r="H98" s="171">
        <f t="shared" si="4"/>
        <v>0</v>
      </c>
      <c r="I98" s="26"/>
      <c r="J98" s="26"/>
    </row>
    <row r="99" spans="1:10" ht="13.2">
      <c r="A99" s="220"/>
      <c r="B99" s="170"/>
      <c r="C99" s="170"/>
      <c r="D99" s="170"/>
      <c r="E99" s="170"/>
      <c r="F99" s="167">
        <f t="shared" si="0"/>
        <v>0</v>
      </c>
      <c r="G99" s="167">
        <v>0</v>
      </c>
      <c r="H99" s="171">
        <f t="shared" si="4"/>
        <v>0</v>
      </c>
      <c r="I99" s="26"/>
      <c r="J99" s="26"/>
    </row>
    <row r="100" spans="1:10" ht="13.2">
      <c r="A100" s="220"/>
      <c r="B100" s="170"/>
      <c r="C100" s="170"/>
      <c r="D100" s="170"/>
      <c r="E100" s="170"/>
      <c r="F100" s="167">
        <f t="shared" si="0"/>
        <v>0</v>
      </c>
      <c r="G100" s="167">
        <v>0</v>
      </c>
      <c r="H100" s="171">
        <f t="shared" si="4"/>
        <v>0</v>
      </c>
      <c r="I100" s="26"/>
      <c r="J100" s="26"/>
    </row>
    <row r="101" spans="1:10" ht="13.2">
      <c r="A101" s="220"/>
      <c r="B101" s="170"/>
      <c r="C101" s="170"/>
      <c r="D101" s="170"/>
      <c r="E101" s="170"/>
      <c r="F101" s="167">
        <f t="shared" si="0"/>
        <v>0</v>
      </c>
      <c r="G101" s="167">
        <v>0</v>
      </c>
      <c r="H101" s="171">
        <f t="shared" si="4"/>
        <v>0</v>
      </c>
      <c r="I101" s="26"/>
      <c r="J101" s="26"/>
    </row>
    <row r="102" spans="1:10" ht="13.2">
      <c r="A102" s="221"/>
      <c r="B102" s="172"/>
      <c r="C102" s="172"/>
      <c r="D102" s="172"/>
      <c r="E102" s="172"/>
      <c r="F102" s="173">
        <f t="shared" si="0"/>
        <v>0</v>
      </c>
      <c r="G102" s="173">
        <v>0</v>
      </c>
      <c r="H102" s="174">
        <f t="shared" si="4"/>
        <v>0</v>
      </c>
      <c r="I102" s="26"/>
      <c r="J102" s="26"/>
    </row>
    <row r="103" spans="1:10" ht="13.2">
      <c r="A103" s="26"/>
      <c r="B103" s="26"/>
      <c r="C103" s="26"/>
      <c r="D103" s="26"/>
      <c r="E103" s="26"/>
      <c r="F103" s="26"/>
      <c r="G103" s="26"/>
      <c r="H103" s="26"/>
      <c r="I103" s="26"/>
      <c r="J103" s="26"/>
    </row>
    <row r="104" spans="1:10" ht="13.2">
      <c r="A104" s="26"/>
      <c r="B104" s="26"/>
      <c r="C104" s="26"/>
      <c r="D104" s="26"/>
      <c r="E104" s="26"/>
      <c r="F104" s="175">
        <f>SUM(F4:F102)</f>
        <v>7280</v>
      </c>
      <c r="G104" s="26"/>
      <c r="H104" s="42">
        <f>SUM(H4:H102)</f>
        <v>5360</v>
      </c>
      <c r="I104" s="26"/>
      <c r="J104" s="26"/>
    </row>
    <row r="105" spans="1:10" ht="13.2">
      <c r="A105" s="26"/>
      <c r="B105" s="26"/>
      <c r="C105" s="26"/>
      <c r="D105" s="26"/>
      <c r="E105" s="26"/>
      <c r="F105" s="26"/>
      <c r="G105" s="26"/>
      <c r="H105" s="26"/>
      <c r="I105" s="26"/>
      <c r="J105" s="26"/>
    </row>
    <row r="106" spans="1:10" ht="13.2">
      <c r="A106" s="26"/>
      <c r="B106" s="26"/>
      <c r="C106" s="26"/>
      <c r="D106" s="26"/>
      <c r="E106" s="26"/>
      <c r="F106" s="26"/>
      <c r="G106" s="26"/>
      <c r="H106" s="26"/>
      <c r="I106" s="26"/>
      <c r="J106" s="26"/>
    </row>
    <row r="107" spans="1:10" ht="13.2">
      <c r="A107" s="26"/>
      <c r="B107" s="176" t="s">
        <v>297</v>
      </c>
      <c r="C107" s="177">
        <f>F104</f>
        <v>7280</v>
      </c>
      <c r="D107" s="26"/>
      <c r="E107" s="26"/>
      <c r="F107" s="26"/>
      <c r="G107" s="26"/>
      <c r="H107" s="26"/>
      <c r="I107" s="26"/>
      <c r="J107" s="26"/>
    </row>
    <row r="108" spans="1:10" ht="13.2">
      <c r="A108" s="26"/>
      <c r="B108" s="26" t="s">
        <v>298</v>
      </c>
      <c r="C108" s="42">
        <f>H104</f>
        <v>5360</v>
      </c>
      <c r="D108" s="26"/>
      <c r="E108" s="26"/>
      <c r="F108" s="26"/>
      <c r="G108" s="26"/>
      <c r="H108" s="26"/>
      <c r="I108" s="26"/>
      <c r="J108" s="26"/>
    </row>
    <row r="109" spans="1:10" ht="13.2">
      <c r="A109" s="26"/>
      <c r="B109" s="26" t="s">
        <v>299</v>
      </c>
      <c r="C109" s="42">
        <v>0</v>
      </c>
      <c r="D109" s="26"/>
      <c r="E109" s="26"/>
      <c r="F109" s="26"/>
      <c r="G109" s="26"/>
      <c r="H109" s="26"/>
      <c r="I109" s="26"/>
      <c r="J109" s="26"/>
    </row>
    <row r="110" spans="1:10" ht="13.2">
      <c r="A110" s="26"/>
      <c r="B110" s="26" t="s">
        <v>300</v>
      </c>
      <c r="C110" s="42">
        <v>0</v>
      </c>
      <c r="D110" s="26"/>
      <c r="E110" s="26"/>
      <c r="F110" s="26"/>
      <c r="G110" s="26"/>
      <c r="H110" s="26"/>
      <c r="I110" s="26"/>
      <c r="J110" s="26"/>
    </row>
    <row r="111" spans="1:10" ht="13.2">
      <c r="A111" s="26"/>
      <c r="B111" s="26" t="s">
        <v>301</v>
      </c>
      <c r="C111" s="42">
        <v>0</v>
      </c>
      <c r="D111" s="26"/>
      <c r="E111" s="26"/>
      <c r="F111" s="26"/>
      <c r="G111" s="26"/>
      <c r="H111" s="26"/>
      <c r="I111" s="26"/>
      <c r="J111" s="26"/>
    </row>
    <row r="112" spans="1:10" ht="13.2">
      <c r="A112" s="26"/>
      <c r="B112" s="176" t="s">
        <v>302</v>
      </c>
      <c r="C112" s="178">
        <f>C107-C108+C109+C110+C111</f>
        <v>1920</v>
      </c>
      <c r="D112" s="26"/>
      <c r="E112" s="26"/>
      <c r="F112" s="26"/>
      <c r="G112" s="26"/>
      <c r="H112" s="26"/>
      <c r="I112" s="26"/>
      <c r="J112" s="26"/>
    </row>
  </sheetData>
  <mergeCells count="8">
    <mergeCell ref="A56:A68"/>
    <mergeCell ref="A69:A73"/>
    <mergeCell ref="A74:A102"/>
    <mergeCell ref="G3:H3"/>
    <mergeCell ref="A4:A11"/>
    <mergeCell ref="A12:A13"/>
    <mergeCell ref="A14:A32"/>
    <mergeCell ref="A33:A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22"/>
  <sheetViews>
    <sheetView workbookViewId="0"/>
  </sheetViews>
  <sheetFormatPr defaultColWidth="12.6640625" defaultRowHeight="15.75" customHeight="1"/>
  <cols>
    <col min="2" max="2" width="25.109375" customWidth="1"/>
  </cols>
  <sheetData>
    <row r="1" spans="1:26" ht="15.75" customHeight="1">
      <c r="A1" s="110" t="s">
        <v>282</v>
      </c>
      <c r="B1" s="111"/>
      <c r="C1" s="111"/>
      <c r="D1" s="111"/>
      <c r="E1" s="112" t="s">
        <v>283</v>
      </c>
      <c r="F1" s="111"/>
      <c r="G1" s="111"/>
      <c r="H1" s="113">
        <f>F103</f>
        <v>8440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>
      <c r="A2" s="114"/>
      <c r="B2" s="115"/>
      <c r="C2" s="115"/>
      <c r="D2" s="115"/>
      <c r="E2" s="116" t="s">
        <v>284</v>
      </c>
      <c r="F2" s="115"/>
      <c r="G2" s="115"/>
      <c r="H2" s="117">
        <f>F103-H103</f>
        <v>6735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>
      <c r="A3" s="118" t="s">
        <v>285</v>
      </c>
      <c r="B3" s="189" t="s">
        <v>286</v>
      </c>
      <c r="C3" s="119" t="s">
        <v>287</v>
      </c>
      <c r="D3" s="119" t="s">
        <v>189</v>
      </c>
      <c r="E3" s="119" t="s">
        <v>288</v>
      </c>
      <c r="F3" s="119" t="s">
        <v>289</v>
      </c>
      <c r="G3" s="217" t="s">
        <v>290</v>
      </c>
      <c r="H3" s="218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>
      <c r="A4" s="228" t="s">
        <v>264</v>
      </c>
      <c r="B4" s="190" t="s">
        <v>310</v>
      </c>
      <c r="C4" s="181">
        <v>2200</v>
      </c>
      <c r="D4" s="181">
        <v>1</v>
      </c>
      <c r="E4" s="181">
        <v>1</v>
      </c>
      <c r="F4" s="121">
        <f t="shared" ref="F4:F7" si="0">C4*E4</f>
        <v>2200</v>
      </c>
      <c r="G4" s="181">
        <v>0</v>
      </c>
      <c r="H4" s="123">
        <f t="shared" ref="H4:H7" si="1">G4*C4</f>
        <v>0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>
      <c r="A5" s="220"/>
      <c r="B5" s="121" t="s">
        <v>311</v>
      </c>
      <c r="C5" s="190">
        <v>240</v>
      </c>
      <c r="D5" s="190">
        <v>1</v>
      </c>
      <c r="E5" s="190">
        <v>1</v>
      </c>
      <c r="F5" s="121">
        <f t="shared" si="0"/>
        <v>240</v>
      </c>
      <c r="G5" s="121">
        <v>0</v>
      </c>
      <c r="H5" s="125">
        <f t="shared" si="1"/>
        <v>0</v>
      </c>
      <c r="I5" s="1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>
      <c r="A6" s="220"/>
      <c r="B6" s="190" t="s">
        <v>312</v>
      </c>
      <c r="C6" s="190">
        <v>190</v>
      </c>
      <c r="D6" s="190">
        <v>1</v>
      </c>
      <c r="E6" s="190">
        <v>1</v>
      </c>
      <c r="F6" s="121">
        <f t="shared" si="0"/>
        <v>190</v>
      </c>
      <c r="G6" s="121">
        <v>0</v>
      </c>
      <c r="H6" s="125">
        <f t="shared" si="1"/>
        <v>0</v>
      </c>
      <c r="I6" s="1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>
      <c r="A7" s="220"/>
      <c r="B7" s="121" t="s">
        <v>313</v>
      </c>
      <c r="C7" s="190">
        <v>75</v>
      </c>
      <c r="D7" s="190">
        <v>1</v>
      </c>
      <c r="E7" s="190">
        <v>1</v>
      </c>
      <c r="F7" s="121">
        <f t="shared" si="0"/>
        <v>75</v>
      </c>
      <c r="G7" s="121">
        <v>0</v>
      </c>
      <c r="H7" s="125">
        <f t="shared" si="1"/>
        <v>0</v>
      </c>
      <c r="I7" s="1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>
      <c r="A8" s="220"/>
      <c r="B8" s="190" t="s">
        <v>314</v>
      </c>
      <c r="C8" s="190">
        <v>100</v>
      </c>
      <c r="D8" s="190">
        <v>1</v>
      </c>
      <c r="E8" s="190">
        <v>1</v>
      </c>
      <c r="F8" s="190">
        <v>100</v>
      </c>
      <c r="G8" s="190">
        <v>0</v>
      </c>
      <c r="H8" s="191">
        <v>0</v>
      </c>
      <c r="I8" s="1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>
      <c r="A9" s="220"/>
      <c r="B9" s="190" t="s">
        <v>315</v>
      </c>
      <c r="C9" s="190">
        <v>1845</v>
      </c>
      <c r="D9" s="190">
        <v>1</v>
      </c>
      <c r="E9" s="190">
        <v>1</v>
      </c>
      <c r="F9" s="121">
        <f t="shared" ref="F9:F101" si="2">C9*E9</f>
        <v>1845</v>
      </c>
      <c r="G9" s="121">
        <v>0</v>
      </c>
      <c r="H9" s="125">
        <v>0</v>
      </c>
      <c r="I9" s="1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>
      <c r="A10" s="221"/>
      <c r="B10" s="190" t="s">
        <v>316</v>
      </c>
      <c r="C10" s="190">
        <v>1100</v>
      </c>
      <c r="D10" s="190">
        <v>1</v>
      </c>
      <c r="E10" s="190">
        <v>1</v>
      </c>
      <c r="F10" s="121">
        <f t="shared" si="2"/>
        <v>1100</v>
      </c>
      <c r="G10" s="121">
        <v>0</v>
      </c>
      <c r="H10" s="125">
        <f t="shared" ref="H10:H44" si="3">G10*C10</f>
        <v>0</v>
      </c>
      <c r="I10" s="1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>
      <c r="A11" s="229" t="s">
        <v>291</v>
      </c>
      <c r="B11" s="186" t="s">
        <v>317</v>
      </c>
      <c r="C11" s="184">
        <v>1705</v>
      </c>
      <c r="D11" s="184">
        <v>1</v>
      </c>
      <c r="E11" s="184">
        <v>1</v>
      </c>
      <c r="F11" s="131">
        <f t="shared" si="2"/>
        <v>1705</v>
      </c>
      <c r="G11" s="184">
        <v>1</v>
      </c>
      <c r="H11" s="133">
        <f t="shared" si="3"/>
        <v>1705</v>
      </c>
      <c r="I11" s="1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>
      <c r="A12" s="221"/>
      <c r="B12" s="186" t="s">
        <v>318</v>
      </c>
      <c r="C12" s="186">
        <v>985</v>
      </c>
      <c r="D12" s="186">
        <v>1</v>
      </c>
      <c r="E12" s="186">
        <v>1</v>
      </c>
      <c r="F12" s="192">
        <f t="shared" si="2"/>
        <v>985</v>
      </c>
      <c r="G12" s="131">
        <v>0</v>
      </c>
      <c r="H12" s="135">
        <f t="shared" si="3"/>
        <v>0</v>
      </c>
      <c r="I12" s="1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>
      <c r="A13" s="230" t="s">
        <v>292</v>
      </c>
      <c r="B13" s="141"/>
      <c r="C13" s="141"/>
      <c r="D13" s="141"/>
      <c r="E13" s="141"/>
      <c r="F13" s="140">
        <f t="shared" si="2"/>
        <v>0</v>
      </c>
      <c r="G13" s="141">
        <v>0</v>
      </c>
      <c r="H13" s="142">
        <f t="shared" si="3"/>
        <v>0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>
      <c r="A14" s="220"/>
      <c r="B14" s="140"/>
      <c r="C14" s="140"/>
      <c r="D14" s="140"/>
      <c r="E14" s="140"/>
      <c r="F14" s="140">
        <f t="shared" si="2"/>
        <v>0</v>
      </c>
      <c r="G14" s="140">
        <v>0</v>
      </c>
      <c r="H14" s="144">
        <f t="shared" si="3"/>
        <v>0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>
      <c r="A15" s="220"/>
      <c r="B15" s="140"/>
      <c r="C15" s="140"/>
      <c r="D15" s="140"/>
      <c r="E15" s="140"/>
      <c r="F15" s="140">
        <f t="shared" si="2"/>
        <v>0</v>
      </c>
      <c r="G15" s="140">
        <v>0</v>
      </c>
      <c r="H15" s="144">
        <f t="shared" si="3"/>
        <v>0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>
      <c r="A16" s="220"/>
      <c r="B16" s="140"/>
      <c r="C16" s="140"/>
      <c r="D16" s="140"/>
      <c r="E16" s="140"/>
      <c r="F16" s="140">
        <f t="shared" si="2"/>
        <v>0</v>
      </c>
      <c r="G16" s="140">
        <v>0</v>
      </c>
      <c r="H16" s="144">
        <f t="shared" si="3"/>
        <v>0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>
      <c r="A17" s="220"/>
      <c r="B17" s="140"/>
      <c r="C17" s="140"/>
      <c r="D17" s="140"/>
      <c r="E17" s="140"/>
      <c r="F17" s="140">
        <f t="shared" si="2"/>
        <v>0</v>
      </c>
      <c r="G17" s="140">
        <v>0</v>
      </c>
      <c r="H17" s="144">
        <f t="shared" si="3"/>
        <v>0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>
      <c r="A18" s="220"/>
      <c r="B18" s="140"/>
      <c r="C18" s="140"/>
      <c r="D18" s="140"/>
      <c r="E18" s="140"/>
      <c r="F18" s="140">
        <f t="shared" si="2"/>
        <v>0</v>
      </c>
      <c r="G18" s="140">
        <v>0</v>
      </c>
      <c r="H18" s="144">
        <f t="shared" si="3"/>
        <v>0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>
      <c r="A19" s="220"/>
      <c r="B19" s="140"/>
      <c r="C19" s="140"/>
      <c r="D19" s="140"/>
      <c r="E19" s="140"/>
      <c r="F19" s="140">
        <f t="shared" si="2"/>
        <v>0</v>
      </c>
      <c r="G19" s="140">
        <v>0</v>
      </c>
      <c r="H19" s="144">
        <f t="shared" si="3"/>
        <v>0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>
      <c r="A20" s="220"/>
      <c r="B20" s="140"/>
      <c r="C20" s="140"/>
      <c r="D20" s="140"/>
      <c r="E20" s="140"/>
      <c r="F20" s="140">
        <f t="shared" si="2"/>
        <v>0</v>
      </c>
      <c r="G20" s="140">
        <v>0</v>
      </c>
      <c r="H20" s="144">
        <f t="shared" si="3"/>
        <v>0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>
      <c r="A21" s="220"/>
      <c r="B21" s="140"/>
      <c r="C21" s="140"/>
      <c r="D21" s="140"/>
      <c r="E21" s="140"/>
      <c r="F21" s="140">
        <f t="shared" si="2"/>
        <v>0</v>
      </c>
      <c r="G21" s="140">
        <v>0</v>
      </c>
      <c r="H21" s="144">
        <f t="shared" si="3"/>
        <v>0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>
      <c r="A22" s="220"/>
      <c r="B22" s="140"/>
      <c r="C22" s="140"/>
      <c r="D22" s="140"/>
      <c r="E22" s="140"/>
      <c r="F22" s="140">
        <f t="shared" si="2"/>
        <v>0</v>
      </c>
      <c r="G22" s="140">
        <v>0</v>
      </c>
      <c r="H22" s="144">
        <f t="shared" si="3"/>
        <v>0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>
      <c r="A23" s="220"/>
      <c r="B23" s="140"/>
      <c r="C23" s="140"/>
      <c r="D23" s="140"/>
      <c r="E23" s="140"/>
      <c r="F23" s="140">
        <f t="shared" si="2"/>
        <v>0</v>
      </c>
      <c r="G23" s="140">
        <v>0</v>
      </c>
      <c r="H23" s="144">
        <f t="shared" si="3"/>
        <v>0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>
      <c r="A24" s="220"/>
      <c r="B24" s="140"/>
      <c r="C24" s="140"/>
      <c r="D24" s="140"/>
      <c r="E24" s="140"/>
      <c r="F24" s="140">
        <f t="shared" si="2"/>
        <v>0</v>
      </c>
      <c r="G24" s="140">
        <v>0</v>
      </c>
      <c r="H24" s="144">
        <f t="shared" si="3"/>
        <v>0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>
      <c r="A25" s="220"/>
      <c r="B25" s="140"/>
      <c r="C25" s="140"/>
      <c r="D25" s="140"/>
      <c r="E25" s="140"/>
      <c r="F25" s="140">
        <f t="shared" si="2"/>
        <v>0</v>
      </c>
      <c r="G25" s="140">
        <v>0</v>
      </c>
      <c r="H25" s="144">
        <f t="shared" si="3"/>
        <v>0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>
      <c r="A26" s="220"/>
      <c r="B26" s="140"/>
      <c r="C26" s="140"/>
      <c r="D26" s="140"/>
      <c r="E26" s="140"/>
      <c r="F26" s="140">
        <f t="shared" si="2"/>
        <v>0</v>
      </c>
      <c r="G26" s="140">
        <v>0</v>
      </c>
      <c r="H26" s="144">
        <f t="shared" si="3"/>
        <v>0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>
      <c r="A27" s="220"/>
      <c r="B27" s="140"/>
      <c r="C27" s="140"/>
      <c r="D27" s="140"/>
      <c r="E27" s="140"/>
      <c r="F27" s="140">
        <f t="shared" si="2"/>
        <v>0</v>
      </c>
      <c r="G27" s="140">
        <v>0</v>
      </c>
      <c r="H27" s="144">
        <f t="shared" si="3"/>
        <v>0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2">
      <c r="A28" s="220"/>
      <c r="B28" s="140"/>
      <c r="C28" s="140"/>
      <c r="D28" s="140"/>
      <c r="E28" s="140"/>
      <c r="F28" s="140">
        <f t="shared" si="2"/>
        <v>0</v>
      </c>
      <c r="G28" s="140">
        <v>0</v>
      </c>
      <c r="H28" s="144">
        <f t="shared" si="3"/>
        <v>0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2">
      <c r="A29" s="220"/>
      <c r="B29" s="140"/>
      <c r="C29" s="140"/>
      <c r="D29" s="140"/>
      <c r="E29" s="140"/>
      <c r="F29" s="140">
        <f t="shared" si="2"/>
        <v>0</v>
      </c>
      <c r="G29" s="140">
        <v>0</v>
      </c>
      <c r="H29" s="144">
        <f t="shared" si="3"/>
        <v>0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3.2">
      <c r="A30" s="220"/>
      <c r="B30" s="140"/>
      <c r="C30" s="140"/>
      <c r="D30" s="140"/>
      <c r="E30" s="140"/>
      <c r="F30" s="140">
        <f t="shared" si="2"/>
        <v>0</v>
      </c>
      <c r="G30" s="140">
        <v>0</v>
      </c>
      <c r="H30" s="144">
        <f t="shared" si="3"/>
        <v>0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3.2">
      <c r="A31" s="221"/>
      <c r="B31" s="146"/>
      <c r="C31" s="146"/>
      <c r="D31" s="146"/>
      <c r="E31" s="146"/>
      <c r="F31" s="146">
        <f t="shared" si="2"/>
        <v>0</v>
      </c>
      <c r="G31" s="146">
        <v>0</v>
      </c>
      <c r="H31" s="147">
        <f t="shared" si="3"/>
        <v>0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3.2">
      <c r="A32" s="231" t="s">
        <v>293</v>
      </c>
      <c r="B32" s="150"/>
      <c r="C32" s="150"/>
      <c r="D32" s="150"/>
      <c r="E32" s="150"/>
      <c r="F32" s="149">
        <f t="shared" si="2"/>
        <v>0</v>
      </c>
      <c r="G32" s="150">
        <v>0</v>
      </c>
      <c r="H32" s="151">
        <f t="shared" si="3"/>
        <v>0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3.2">
      <c r="A33" s="220"/>
      <c r="B33" s="149"/>
      <c r="C33" s="149"/>
      <c r="D33" s="149"/>
      <c r="E33" s="149"/>
      <c r="F33" s="149">
        <f t="shared" si="2"/>
        <v>0</v>
      </c>
      <c r="G33" s="149">
        <v>0</v>
      </c>
      <c r="H33" s="153">
        <f t="shared" si="3"/>
        <v>0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3.2">
      <c r="A34" s="220"/>
      <c r="B34" s="149"/>
      <c r="C34" s="149"/>
      <c r="D34" s="149"/>
      <c r="E34" s="149"/>
      <c r="F34" s="149">
        <f t="shared" si="2"/>
        <v>0</v>
      </c>
      <c r="G34" s="149">
        <v>0</v>
      </c>
      <c r="H34" s="153">
        <f t="shared" si="3"/>
        <v>0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3.2">
      <c r="A35" s="220"/>
      <c r="B35" s="149"/>
      <c r="C35" s="149"/>
      <c r="D35" s="149"/>
      <c r="E35" s="149"/>
      <c r="F35" s="149">
        <f t="shared" si="2"/>
        <v>0</v>
      </c>
      <c r="G35" s="149">
        <v>0</v>
      </c>
      <c r="H35" s="153">
        <f t="shared" si="3"/>
        <v>0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3.2">
      <c r="A36" s="220"/>
      <c r="B36" s="149"/>
      <c r="C36" s="149"/>
      <c r="D36" s="149"/>
      <c r="E36" s="149"/>
      <c r="F36" s="149">
        <f t="shared" si="2"/>
        <v>0</v>
      </c>
      <c r="G36" s="149">
        <v>0</v>
      </c>
      <c r="H36" s="153">
        <f t="shared" si="3"/>
        <v>0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3.2">
      <c r="A37" s="220"/>
      <c r="B37" s="149"/>
      <c r="C37" s="149"/>
      <c r="D37" s="149"/>
      <c r="E37" s="149"/>
      <c r="F37" s="149">
        <f t="shared" si="2"/>
        <v>0</v>
      </c>
      <c r="G37" s="149">
        <v>0</v>
      </c>
      <c r="H37" s="153">
        <f t="shared" si="3"/>
        <v>0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3.2">
      <c r="A38" s="220"/>
      <c r="B38" s="149"/>
      <c r="C38" s="149"/>
      <c r="D38" s="149"/>
      <c r="E38" s="149"/>
      <c r="F38" s="149">
        <f t="shared" si="2"/>
        <v>0</v>
      </c>
      <c r="G38" s="149">
        <v>0</v>
      </c>
      <c r="H38" s="153">
        <f t="shared" si="3"/>
        <v>0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3.2">
      <c r="A39" s="220"/>
      <c r="B39" s="149"/>
      <c r="C39" s="149"/>
      <c r="D39" s="149"/>
      <c r="E39" s="149"/>
      <c r="F39" s="149">
        <f t="shared" si="2"/>
        <v>0</v>
      </c>
      <c r="G39" s="149">
        <v>0</v>
      </c>
      <c r="H39" s="153">
        <f t="shared" si="3"/>
        <v>0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3.2">
      <c r="A40" s="220"/>
      <c r="B40" s="149"/>
      <c r="C40" s="149"/>
      <c r="D40" s="149"/>
      <c r="E40" s="149"/>
      <c r="F40" s="149">
        <f t="shared" si="2"/>
        <v>0</v>
      </c>
      <c r="G40" s="149">
        <v>0</v>
      </c>
      <c r="H40" s="153">
        <f t="shared" si="3"/>
        <v>0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3.2">
      <c r="A41" s="220"/>
      <c r="B41" s="149"/>
      <c r="C41" s="149"/>
      <c r="D41" s="149"/>
      <c r="E41" s="149"/>
      <c r="F41" s="149">
        <f t="shared" si="2"/>
        <v>0</v>
      </c>
      <c r="G41" s="149">
        <v>0</v>
      </c>
      <c r="H41" s="153">
        <f t="shared" si="3"/>
        <v>0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3.2">
      <c r="A42" s="220"/>
      <c r="B42" s="149"/>
      <c r="C42" s="149"/>
      <c r="D42" s="149"/>
      <c r="E42" s="149"/>
      <c r="F42" s="149">
        <f t="shared" si="2"/>
        <v>0</v>
      </c>
      <c r="G42" s="149">
        <v>0</v>
      </c>
      <c r="H42" s="153">
        <f t="shared" si="3"/>
        <v>0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3.2">
      <c r="A43" s="220"/>
      <c r="B43" s="149"/>
      <c r="C43" s="149"/>
      <c r="D43" s="149"/>
      <c r="E43" s="149"/>
      <c r="F43" s="149">
        <f t="shared" si="2"/>
        <v>0</v>
      </c>
      <c r="G43" s="149">
        <v>0</v>
      </c>
      <c r="H43" s="153">
        <f t="shared" si="3"/>
        <v>0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3.2">
      <c r="A44" s="220"/>
      <c r="B44" s="149"/>
      <c r="C44" s="149"/>
      <c r="D44" s="149"/>
      <c r="E44" s="149"/>
      <c r="F44" s="149">
        <f t="shared" si="2"/>
        <v>0</v>
      </c>
      <c r="G44" s="149">
        <v>0</v>
      </c>
      <c r="H44" s="153">
        <f t="shared" si="3"/>
        <v>0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3.2">
      <c r="A45" s="220"/>
      <c r="B45" s="149"/>
      <c r="C45" s="149"/>
      <c r="D45" s="149"/>
      <c r="E45" s="149"/>
      <c r="F45" s="149">
        <f t="shared" si="2"/>
        <v>0</v>
      </c>
      <c r="G45" s="149">
        <v>0</v>
      </c>
      <c r="H45" s="153">
        <v>0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3.2">
      <c r="A46" s="220"/>
      <c r="B46" s="149"/>
      <c r="C46" s="149"/>
      <c r="D46" s="149"/>
      <c r="E46" s="149"/>
      <c r="F46" s="149">
        <f t="shared" si="2"/>
        <v>0</v>
      </c>
      <c r="G46" s="149">
        <v>0</v>
      </c>
      <c r="H46" s="153">
        <v>0</v>
      </c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3.2">
      <c r="A47" s="220"/>
      <c r="B47" s="149"/>
      <c r="C47" s="149"/>
      <c r="D47" s="149"/>
      <c r="E47" s="149"/>
      <c r="F47" s="149">
        <f t="shared" si="2"/>
        <v>0</v>
      </c>
      <c r="G47" s="149">
        <v>0</v>
      </c>
      <c r="H47" s="153">
        <v>0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3.2">
      <c r="A48" s="220"/>
      <c r="B48" s="149"/>
      <c r="C48" s="149"/>
      <c r="D48" s="149"/>
      <c r="E48" s="149"/>
      <c r="F48" s="149">
        <f t="shared" si="2"/>
        <v>0</v>
      </c>
      <c r="G48" s="149">
        <v>0</v>
      </c>
      <c r="H48" s="153">
        <v>0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3.2">
      <c r="A49" s="220"/>
      <c r="B49" s="149"/>
      <c r="C49" s="149"/>
      <c r="D49" s="149"/>
      <c r="E49" s="149"/>
      <c r="F49" s="149">
        <f t="shared" si="2"/>
        <v>0</v>
      </c>
      <c r="G49" s="149">
        <v>0</v>
      </c>
      <c r="H49" s="153">
        <v>0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3.2">
      <c r="A50" s="220"/>
      <c r="B50" s="149"/>
      <c r="C50" s="149"/>
      <c r="D50" s="149"/>
      <c r="E50" s="149"/>
      <c r="F50" s="149">
        <f t="shared" si="2"/>
        <v>0</v>
      </c>
      <c r="G50" s="149">
        <v>0</v>
      </c>
      <c r="H50" s="153">
        <f t="shared" ref="H50:H71" si="4">G50*C50</f>
        <v>0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3.2">
      <c r="A51" s="220"/>
      <c r="B51" s="149"/>
      <c r="C51" s="149"/>
      <c r="D51" s="149"/>
      <c r="E51" s="149"/>
      <c r="F51" s="149">
        <f t="shared" si="2"/>
        <v>0</v>
      </c>
      <c r="G51" s="149">
        <v>0</v>
      </c>
      <c r="H51" s="153">
        <f t="shared" si="4"/>
        <v>0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3.2">
      <c r="A52" s="220"/>
      <c r="B52" s="149"/>
      <c r="C52" s="149"/>
      <c r="D52" s="149"/>
      <c r="E52" s="149"/>
      <c r="F52" s="149">
        <f t="shared" si="2"/>
        <v>0</v>
      </c>
      <c r="G52" s="149">
        <v>0</v>
      </c>
      <c r="H52" s="153">
        <f t="shared" si="4"/>
        <v>0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3.2">
      <c r="A53" s="220"/>
      <c r="B53" s="149"/>
      <c r="C53" s="149"/>
      <c r="D53" s="149"/>
      <c r="E53" s="149"/>
      <c r="F53" s="149">
        <f t="shared" si="2"/>
        <v>0</v>
      </c>
      <c r="G53" s="149">
        <v>0</v>
      </c>
      <c r="H53" s="153">
        <f t="shared" si="4"/>
        <v>0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3.2">
      <c r="A54" s="221"/>
      <c r="B54" s="155"/>
      <c r="C54" s="155"/>
      <c r="D54" s="155"/>
      <c r="E54" s="155"/>
      <c r="F54" s="155">
        <f t="shared" si="2"/>
        <v>0</v>
      </c>
      <c r="G54" s="155">
        <v>0</v>
      </c>
      <c r="H54" s="156">
        <f t="shared" si="4"/>
        <v>0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3.2">
      <c r="A55" s="232" t="s">
        <v>294</v>
      </c>
      <c r="B55" s="122"/>
      <c r="C55" s="122"/>
      <c r="D55" s="122"/>
      <c r="E55" s="122"/>
      <c r="F55" s="121">
        <f t="shared" si="2"/>
        <v>0</v>
      </c>
      <c r="G55" s="122">
        <v>0</v>
      </c>
      <c r="H55" s="123">
        <f t="shared" si="4"/>
        <v>0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3.2">
      <c r="A56" s="220"/>
      <c r="B56" s="121"/>
      <c r="C56" s="121"/>
      <c r="D56" s="121"/>
      <c r="E56" s="121"/>
      <c r="F56" s="121">
        <f t="shared" si="2"/>
        <v>0</v>
      </c>
      <c r="G56" s="121">
        <v>0</v>
      </c>
      <c r="H56" s="125">
        <f t="shared" si="4"/>
        <v>0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3.2">
      <c r="A57" s="220"/>
      <c r="B57" s="121"/>
      <c r="C57" s="121"/>
      <c r="D57" s="121"/>
      <c r="E57" s="121"/>
      <c r="F57" s="121">
        <f t="shared" si="2"/>
        <v>0</v>
      </c>
      <c r="G57" s="121">
        <v>0</v>
      </c>
      <c r="H57" s="125">
        <f t="shared" si="4"/>
        <v>0</v>
      </c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3.2">
      <c r="A58" s="220"/>
      <c r="B58" s="121"/>
      <c r="C58" s="121"/>
      <c r="D58" s="121"/>
      <c r="E58" s="121"/>
      <c r="F58" s="121">
        <f t="shared" si="2"/>
        <v>0</v>
      </c>
      <c r="G58" s="121">
        <v>0</v>
      </c>
      <c r="H58" s="125">
        <f t="shared" si="4"/>
        <v>0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3.2">
      <c r="A59" s="220"/>
      <c r="B59" s="121"/>
      <c r="C59" s="121"/>
      <c r="D59" s="121"/>
      <c r="E59" s="121"/>
      <c r="F59" s="121">
        <f t="shared" si="2"/>
        <v>0</v>
      </c>
      <c r="G59" s="121">
        <v>0</v>
      </c>
      <c r="H59" s="125">
        <f t="shared" si="4"/>
        <v>0</v>
      </c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3.2">
      <c r="A60" s="220"/>
      <c r="B60" s="121"/>
      <c r="C60" s="121"/>
      <c r="D60" s="121"/>
      <c r="E60" s="121"/>
      <c r="F60" s="121">
        <f t="shared" si="2"/>
        <v>0</v>
      </c>
      <c r="G60" s="121">
        <v>0</v>
      </c>
      <c r="H60" s="125">
        <f t="shared" si="4"/>
        <v>0</v>
      </c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3.2">
      <c r="A61" s="220"/>
      <c r="B61" s="121"/>
      <c r="C61" s="121"/>
      <c r="D61" s="121"/>
      <c r="E61" s="121"/>
      <c r="F61" s="121">
        <f t="shared" si="2"/>
        <v>0</v>
      </c>
      <c r="G61" s="121">
        <v>0</v>
      </c>
      <c r="H61" s="125">
        <f t="shared" si="4"/>
        <v>0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3.2">
      <c r="A62" s="220"/>
      <c r="B62" s="121"/>
      <c r="C62" s="121"/>
      <c r="D62" s="121"/>
      <c r="E62" s="121"/>
      <c r="F62" s="121">
        <f t="shared" si="2"/>
        <v>0</v>
      </c>
      <c r="G62" s="121">
        <v>0</v>
      </c>
      <c r="H62" s="125">
        <f t="shared" si="4"/>
        <v>0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3.2">
      <c r="A63" s="220"/>
      <c r="B63" s="121"/>
      <c r="C63" s="121"/>
      <c r="D63" s="121"/>
      <c r="E63" s="121"/>
      <c r="F63" s="121">
        <f t="shared" si="2"/>
        <v>0</v>
      </c>
      <c r="G63" s="121">
        <v>0</v>
      </c>
      <c r="H63" s="125">
        <f t="shared" si="4"/>
        <v>0</v>
      </c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3.2">
      <c r="A64" s="220"/>
      <c r="B64" s="121"/>
      <c r="C64" s="121"/>
      <c r="D64" s="121"/>
      <c r="E64" s="121"/>
      <c r="F64" s="121">
        <f t="shared" si="2"/>
        <v>0</v>
      </c>
      <c r="G64" s="121">
        <v>0</v>
      </c>
      <c r="H64" s="125">
        <f t="shared" si="4"/>
        <v>0</v>
      </c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3.2">
      <c r="A65" s="220"/>
      <c r="B65" s="121"/>
      <c r="C65" s="121"/>
      <c r="D65" s="121"/>
      <c r="E65" s="121"/>
      <c r="F65" s="121">
        <f t="shared" si="2"/>
        <v>0</v>
      </c>
      <c r="G65" s="121">
        <v>0</v>
      </c>
      <c r="H65" s="125">
        <f t="shared" si="4"/>
        <v>0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3.2">
      <c r="A66" s="220"/>
      <c r="B66" s="121"/>
      <c r="C66" s="121"/>
      <c r="D66" s="121"/>
      <c r="E66" s="121"/>
      <c r="F66" s="121">
        <f t="shared" si="2"/>
        <v>0</v>
      </c>
      <c r="G66" s="121">
        <v>0</v>
      </c>
      <c r="H66" s="125">
        <f t="shared" si="4"/>
        <v>0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3.2">
      <c r="A67" s="221"/>
      <c r="B67" s="128"/>
      <c r="C67" s="128"/>
      <c r="D67" s="128"/>
      <c r="E67" s="128"/>
      <c r="F67" s="128">
        <f t="shared" si="2"/>
        <v>0</v>
      </c>
      <c r="G67" s="128">
        <v>0</v>
      </c>
      <c r="H67" s="129">
        <f t="shared" si="4"/>
        <v>0</v>
      </c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3.2">
      <c r="A68" s="233" t="s">
        <v>295</v>
      </c>
      <c r="B68" s="159"/>
      <c r="C68" s="159"/>
      <c r="D68" s="159"/>
      <c r="E68" s="159"/>
      <c r="F68" s="158">
        <f t="shared" si="2"/>
        <v>0</v>
      </c>
      <c r="G68" s="159">
        <v>0</v>
      </c>
      <c r="H68" s="160">
        <f t="shared" si="4"/>
        <v>0</v>
      </c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3.2">
      <c r="A69" s="220"/>
      <c r="B69" s="158"/>
      <c r="C69" s="158"/>
      <c r="D69" s="158"/>
      <c r="E69" s="158"/>
      <c r="F69" s="158">
        <f t="shared" si="2"/>
        <v>0</v>
      </c>
      <c r="G69" s="158">
        <v>0</v>
      </c>
      <c r="H69" s="162">
        <f t="shared" si="4"/>
        <v>0</v>
      </c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3.2">
      <c r="A70" s="220"/>
      <c r="B70" s="158"/>
      <c r="C70" s="158"/>
      <c r="D70" s="158"/>
      <c r="E70" s="158"/>
      <c r="F70" s="158">
        <f t="shared" si="2"/>
        <v>0</v>
      </c>
      <c r="G70" s="158">
        <v>0</v>
      </c>
      <c r="H70" s="162">
        <f t="shared" si="4"/>
        <v>0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3.2">
      <c r="A71" s="220"/>
      <c r="B71" s="158"/>
      <c r="C71" s="158"/>
      <c r="D71" s="158"/>
      <c r="E71" s="158"/>
      <c r="F71" s="158">
        <f t="shared" si="2"/>
        <v>0</v>
      </c>
      <c r="G71" s="158">
        <v>0</v>
      </c>
      <c r="H71" s="162">
        <f t="shared" si="4"/>
        <v>0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3.2">
      <c r="A72" s="221"/>
      <c r="B72" s="164"/>
      <c r="C72" s="164"/>
      <c r="D72" s="164"/>
      <c r="E72" s="164"/>
      <c r="F72" s="164">
        <f t="shared" si="2"/>
        <v>0</v>
      </c>
      <c r="G72" s="164">
        <v>0</v>
      </c>
      <c r="H72" s="165">
        <v>0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3.2">
      <c r="A73" s="234" t="s">
        <v>296</v>
      </c>
      <c r="B73" s="168"/>
      <c r="C73" s="168"/>
      <c r="D73" s="168"/>
      <c r="E73" s="168"/>
      <c r="F73" s="167">
        <f t="shared" si="2"/>
        <v>0</v>
      </c>
      <c r="G73" s="168">
        <v>0</v>
      </c>
      <c r="H73" s="169">
        <f t="shared" ref="H73:H101" si="5">G73*C73</f>
        <v>0</v>
      </c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3.2">
      <c r="A74" s="220"/>
      <c r="B74" s="167"/>
      <c r="C74" s="167"/>
      <c r="D74" s="167"/>
      <c r="E74" s="167"/>
      <c r="F74" s="167">
        <f t="shared" si="2"/>
        <v>0</v>
      </c>
      <c r="G74" s="167">
        <v>0</v>
      </c>
      <c r="H74" s="171">
        <f t="shared" si="5"/>
        <v>0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3.2">
      <c r="A75" s="220"/>
      <c r="B75" s="167"/>
      <c r="C75" s="167"/>
      <c r="D75" s="167"/>
      <c r="E75" s="167"/>
      <c r="F75" s="167">
        <f t="shared" si="2"/>
        <v>0</v>
      </c>
      <c r="G75" s="167">
        <v>0</v>
      </c>
      <c r="H75" s="171">
        <f t="shared" si="5"/>
        <v>0</v>
      </c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3.2">
      <c r="A76" s="220"/>
      <c r="B76" s="167"/>
      <c r="C76" s="167"/>
      <c r="D76" s="167"/>
      <c r="E76" s="167"/>
      <c r="F76" s="167">
        <f t="shared" si="2"/>
        <v>0</v>
      </c>
      <c r="G76" s="167">
        <v>0</v>
      </c>
      <c r="H76" s="171">
        <f t="shared" si="5"/>
        <v>0</v>
      </c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3.2">
      <c r="A77" s="220"/>
      <c r="B77" s="167"/>
      <c r="C77" s="167"/>
      <c r="D77" s="167"/>
      <c r="E77" s="167"/>
      <c r="F77" s="167">
        <f t="shared" si="2"/>
        <v>0</v>
      </c>
      <c r="G77" s="167">
        <v>0</v>
      </c>
      <c r="H77" s="171">
        <f t="shared" si="5"/>
        <v>0</v>
      </c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3.2">
      <c r="A78" s="220"/>
      <c r="B78" s="167"/>
      <c r="C78" s="167"/>
      <c r="D78" s="167"/>
      <c r="E78" s="167"/>
      <c r="F78" s="167">
        <f t="shared" si="2"/>
        <v>0</v>
      </c>
      <c r="G78" s="167">
        <v>0</v>
      </c>
      <c r="H78" s="171">
        <f t="shared" si="5"/>
        <v>0</v>
      </c>
      <c r="I78" s="26"/>
      <c r="J78" s="26" t="s">
        <v>184</v>
      </c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3.2">
      <c r="A79" s="220"/>
      <c r="B79" s="167"/>
      <c r="C79" s="167"/>
      <c r="D79" s="167"/>
      <c r="E79" s="167"/>
      <c r="F79" s="167">
        <f t="shared" si="2"/>
        <v>0</v>
      </c>
      <c r="G79" s="167">
        <v>0</v>
      </c>
      <c r="H79" s="171">
        <f t="shared" si="5"/>
        <v>0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3.2">
      <c r="A80" s="220"/>
      <c r="B80" s="167"/>
      <c r="C80" s="167"/>
      <c r="D80" s="167"/>
      <c r="E80" s="167"/>
      <c r="F80" s="167">
        <f t="shared" si="2"/>
        <v>0</v>
      </c>
      <c r="G80" s="167">
        <v>0</v>
      </c>
      <c r="H80" s="171">
        <f t="shared" si="5"/>
        <v>0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3.2">
      <c r="A81" s="220"/>
      <c r="B81" s="167"/>
      <c r="C81" s="167"/>
      <c r="D81" s="167"/>
      <c r="E81" s="167"/>
      <c r="F81" s="167">
        <f t="shared" si="2"/>
        <v>0</v>
      </c>
      <c r="G81" s="167">
        <v>0</v>
      </c>
      <c r="H81" s="171">
        <f t="shared" si="5"/>
        <v>0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3.2">
      <c r="A82" s="220"/>
      <c r="B82" s="167"/>
      <c r="C82" s="167"/>
      <c r="D82" s="167"/>
      <c r="E82" s="167"/>
      <c r="F82" s="167">
        <f t="shared" si="2"/>
        <v>0</v>
      </c>
      <c r="G82" s="167">
        <v>0</v>
      </c>
      <c r="H82" s="171">
        <f t="shared" si="5"/>
        <v>0</v>
      </c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3.2">
      <c r="A83" s="220"/>
      <c r="B83" s="167"/>
      <c r="C83" s="167"/>
      <c r="D83" s="167"/>
      <c r="E83" s="167"/>
      <c r="F83" s="167">
        <f t="shared" si="2"/>
        <v>0</v>
      </c>
      <c r="G83" s="167">
        <v>0</v>
      </c>
      <c r="H83" s="171">
        <f t="shared" si="5"/>
        <v>0</v>
      </c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3.2">
      <c r="A84" s="220"/>
      <c r="B84" s="167"/>
      <c r="C84" s="167"/>
      <c r="D84" s="167"/>
      <c r="E84" s="167"/>
      <c r="F84" s="167">
        <f t="shared" si="2"/>
        <v>0</v>
      </c>
      <c r="G84" s="167">
        <v>0</v>
      </c>
      <c r="H84" s="171">
        <f t="shared" si="5"/>
        <v>0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3.2">
      <c r="A85" s="220"/>
      <c r="B85" s="167"/>
      <c r="C85" s="167"/>
      <c r="D85" s="167"/>
      <c r="E85" s="167"/>
      <c r="F85" s="167">
        <f t="shared" si="2"/>
        <v>0</v>
      </c>
      <c r="G85" s="167">
        <v>0</v>
      </c>
      <c r="H85" s="171">
        <f t="shared" si="5"/>
        <v>0</v>
      </c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3.2">
      <c r="A86" s="220"/>
      <c r="B86" s="167"/>
      <c r="C86" s="167"/>
      <c r="D86" s="167"/>
      <c r="E86" s="167"/>
      <c r="F86" s="167">
        <f t="shared" si="2"/>
        <v>0</v>
      </c>
      <c r="G86" s="167">
        <v>0</v>
      </c>
      <c r="H86" s="171">
        <f t="shared" si="5"/>
        <v>0</v>
      </c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3.2">
      <c r="A87" s="220"/>
      <c r="B87" s="167"/>
      <c r="C87" s="167"/>
      <c r="D87" s="167"/>
      <c r="E87" s="167"/>
      <c r="F87" s="167">
        <f t="shared" si="2"/>
        <v>0</v>
      </c>
      <c r="G87" s="167">
        <v>0</v>
      </c>
      <c r="H87" s="171">
        <f t="shared" si="5"/>
        <v>0</v>
      </c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3.2">
      <c r="A88" s="220"/>
      <c r="B88" s="167"/>
      <c r="C88" s="167"/>
      <c r="D88" s="167"/>
      <c r="E88" s="167"/>
      <c r="F88" s="167">
        <f t="shared" si="2"/>
        <v>0</v>
      </c>
      <c r="G88" s="167">
        <v>0</v>
      </c>
      <c r="H88" s="171">
        <f t="shared" si="5"/>
        <v>0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3.2">
      <c r="A89" s="220"/>
      <c r="B89" s="167"/>
      <c r="C89" s="167"/>
      <c r="D89" s="167"/>
      <c r="E89" s="167"/>
      <c r="F89" s="167">
        <f t="shared" si="2"/>
        <v>0</v>
      </c>
      <c r="G89" s="167">
        <v>0</v>
      </c>
      <c r="H89" s="171">
        <f t="shared" si="5"/>
        <v>0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3.2">
      <c r="A90" s="220"/>
      <c r="B90" s="167"/>
      <c r="C90" s="167"/>
      <c r="D90" s="167"/>
      <c r="E90" s="167"/>
      <c r="F90" s="167">
        <f t="shared" si="2"/>
        <v>0</v>
      </c>
      <c r="G90" s="167">
        <v>0</v>
      </c>
      <c r="H90" s="171">
        <f t="shared" si="5"/>
        <v>0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3.2">
      <c r="A91" s="220"/>
      <c r="B91" s="167"/>
      <c r="C91" s="167"/>
      <c r="D91" s="167"/>
      <c r="E91" s="167"/>
      <c r="F91" s="167">
        <f t="shared" si="2"/>
        <v>0</v>
      </c>
      <c r="G91" s="167">
        <v>0</v>
      </c>
      <c r="H91" s="171">
        <f t="shared" si="5"/>
        <v>0</v>
      </c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3.2">
      <c r="A92" s="220"/>
      <c r="B92" s="167"/>
      <c r="C92" s="167"/>
      <c r="D92" s="167"/>
      <c r="E92" s="167"/>
      <c r="F92" s="167">
        <f t="shared" si="2"/>
        <v>0</v>
      </c>
      <c r="G92" s="167">
        <v>0</v>
      </c>
      <c r="H92" s="171">
        <f t="shared" si="5"/>
        <v>0</v>
      </c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3.2">
      <c r="A93" s="220"/>
      <c r="B93" s="167"/>
      <c r="C93" s="167"/>
      <c r="D93" s="167"/>
      <c r="E93" s="167"/>
      <c r="F93" s="167">
        <f t="shared" si="2"/>
        <v>0</v>
      </c>
      <c r="G93" s="167">
        <v>0</v>
      </c>
      <c r="H93" s="171">
        <f t="shared" si="5"/>
        <v>0</v>
      </c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3.2">
      <c r="A94" s="220"/>
      <c r="B94" s="167"/>
      <c r="C94" s="167"/>
      <c r="D94" s="167"/>
      <c r="E94" s="167"/>
      <c r="F94" s="167">
        <f t="shared" si="2"/>
        <v>0</v>
      </c>
      <c r="G94" s="167">
        <v>0</v>
      </c>
      <c r="H94" s="171">
        <f t="shared" si="5"/>
        <v>0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3.2">
      <c r="A95" s="220"/>
      <c r="B95" s="167"/>
      <c r="C95" s="167"/>
      <c r="D95" s="167"/>
      <c r="E95" s="167"/>
      <c r="F95" s="167">
        <f t="shared" si="2"/>
        <v>0</v>
      </c>
      <c r="G95" s="167">
        <v>0</v>
      </c>
      <c r="H95" s="171">
        <f t="shared" si="5"/>
        <v>0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3.2">
      <c r="A96" s="220"/>
      <c r="B96" s="167"/>
      <c r="C96" s="167"/>
      <c r="D96" s="167"/>
      <c r="E96" s="167"/>
      <c r="F96" s="167">
        <f t="shared" si="2"/>
        <v>0</v>
      </c>
      <c r="G96" s="167">
        <v>0</v>
      </c>
      <c r="H96" s="171">
        <f t="shared" si="5"/>
        <v>0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3.2">
      <c r="A97" s="220"/>
      <c r="B97" s="167"/>
      <c r="C97" s="167"/>
      <c r="D97" s="167"/>
      <c r="E97" s="167"/>
      <c r="F97" s="167">
        <f t="shared" si="2"/>
        <v>0</v>
      </c>
      <c r="G97" s="167">
        <v>0</v>
      </c>
      <c r="H97" s="171">
        <f t="shared" si="5"/>
        <v>0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3.2">
      <c r="A98" s="220"/>
      <c r="B98" s="167"/>
      <c r="C98" s="167"/>
      <c r="D98" s="167"/>
      <c r="E98" s="167"/>
      <c r="F98" s="167">
        <f t="shared" si="2"/>
        <v>0</v>
      </c>
      <c r="G98" s="167">
        <v>0</v>
      </c>
      <c r="H98" s="171">
        <f t="shared" si="5"/>
        <v>0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3.2">
      <c r="A99" s="220"/>
      <c r="B99" s="167"/>
      <c r="C99" s="167"/>
      <c r="D99" s="167"/>
      <c r="E99" s="167"/>
      <c r="F99" s="167">
        <f t="shared" si="2"/>
        <v>0</v>
      </c>
      <c r="G99" s="167">
        <v>0</v>
      </c>
      <c r="H99" s="171">
        <f t="shared" si="5"/>
        <v>0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3.2">
      <c r="A100" s="220"/>
      <c r="B100" s="167"/>
      <c r="C100" s="167"/>
      <c r="D100" s="167"/>
      <c r="E100" s="167"/>
      <c r="F100" s="167">
        <f t="shared" si="2"/>
        <v>0</v>
      </c>
      <c r="G100" s="167">
        <v>0</v>
      </c>
      <c r="H100" s="171">
        <f t="shared" si="5"/>
        <v>0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3.2">
      <c r="A101" s="221"/>
      <c r="B101" s="173"/>
      <c r="C101" s="173"/>
      <c r="D101" s="173"/>
      <c r="E101" s="173"/>
      <c r="F101" s="173">
        <f t="shared" si="2"/>
        <v>0</v>
      </c>
      <c r="G101" s="173">
        <v>0</v>
      </c>
      <c r="H101" s="174">
        <f t="shared" si="5"/>
        <v>0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3.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3.2">
      <c r="A103" s="26"/>
      <c r="B103" s="26"/>
      <c r="C103" s="26"/>
      <c r="D103" s="26"/>
      <c r="E103" s="26"/>
      <c r="F103" s="175">
        <f>SUM(F4:F101)</f>
        <v>8440</v>
      </c>
      <c r="G103" s="26"/>
      <c r="H103" s="42">
        <f>SUM(H4:H101)</f>
        <v>1705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3.2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3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3.2">
      <c r="A106" s="26"/>
      <c r="B106" s="176" t="s">
        <v>297</v>
      </c>
      <c r="C106" s="177">
        <f>F103</f>
        <v>8440</v>
      </c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3.2">
      <c r="A107" s="26"/>
      <c r="B107" s="26" t="s">
        <v>298</v>
      </c>
      <c r="C107" s="42">
        <f>H103</f>
        <v>1705</v>
      </c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3.2">
      <c r="A108" s="26"/>
      <c r="B108" s="26" t="s">
        <v>299</v>
      </c>
      <c r="C108" s="42">
        <v>0</v>
      </c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3.2">
      <c r="A109" s="26"/>
      <c r="B109" s="26" t="s">
        <v>300</v>
      </c>
      <c r="C109" s="42">
        <v>0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3.2">
      <c r="A110" s="26"/>
      <c r="B110" s="26" t="s">
        <v>301</v>
      </c>
      <c r="C110" s="42">
        <v>0</v>
      </c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3.2">
      <c r="A111" s="26"/>
      <c r="B111" s="176" t="s">
        <v>302</v>
      </c>
      <c r="C111" s="178">
        <f>C106-C107+C108+C109+C110</f>
        <v>6735</v>
      </c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3.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3.2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3.2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3.2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3.2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3.2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3.2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3.2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3.2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3.2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3.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3.2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3.2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3.2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3.2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3.2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3.2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3.2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3.2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3.2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3.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3.2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3.2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3.2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3.2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3.2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3.2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3.2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3.2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3.2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3.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3.2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3.2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3.2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3.2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3.2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3.2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3.2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3.2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3.2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3.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3.2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3.2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3.2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3.2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3.2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3.2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3.2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3.2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3.2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3.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3.2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3.2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3.2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3.2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3.2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3.2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3.2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3.2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3.2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3.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3.2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3.2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3.2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3.2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3.2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3.2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3.2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3.2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3.2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3.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3.2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3.2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3.2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3.2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3.2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3.2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3.2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3.2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3.2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3.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3.2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3.2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3.2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3.2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3.2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3.2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3.2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3.2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3.2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3.2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26"/>
      <c r="Z202" s="26"/>
    </row>
    <row r="203" spans="1:26" ht="13.2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26"/>
      <c r="Z203" s="26"/>
    </row>
    <row r="204" spans="1:26" ht="13.2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26"/>
      <c r="Z204" s="26"/>
    </row>
    <row r="205" spans="1:26" ht="13.2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26"/>
      <c r="Z205" s="26"/>
    </row>
    <row r="206" spans="1:26" ht="13.2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26"/>
      <c r="Z206" s="26"/>
    </row>
    <row r="207" spans="1:26" ht="13.2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26"/>
      <c r="Z207" s="26"/>
    </row>
    <row r="208" spans="1:26" ht="13.2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26"/>
      <c r="Z208" s="26"/>
    </row>
    <row r="209" spans="1:26" ht="13.2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26"/>
      <c r="Z209" s="26"/>
    </row>
    <row r="210" spans="1:26" ht="13.2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26"/>
      <c r="Z210" s="26"/>
    </row>
    <row r="211" spans="1:26" ht="13.2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26"/>
      <c r="Z211" s="26"/>
    </row>
    <row r="212" spans="1:26" ht="13.2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26"/>
      <c r="Z212" s="26"/>
    </row>
    <row r="213" spans="1:26" ht="13.2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26"/>
      <c r="Z213" s="26"/>
    </row>
    <row r="214" spans="1:26" ht="13.2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26"/>
      <c r="Z214" s="26"/>
    </row>
    <row r="215" spans="1:26" ht="13.2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26"/>
      <c r="Z215" s="26"/>
    </row>
    <row r="216" spans="1:26" ht="13.2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26"/>
      <c r="Z216" s="26"/>
    </row>
    <row r="217" spans="1:26" ht="13.2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26"/>
      <c r="Z217" s="26"/>
    </row>
    <row r="218" spans="1:26" ht="13.2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26"/>
      <c r="Z218" s="26"/>
    </row>
    <row r="219" spans="1:26" ht="13.2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26"/>
      <c r="Z219" s="26"/>
    </row>
    <row r="220" spans="1:26" ht="13.2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26"/>
      <c r="Z220" s="26"/>
    </row>
    <row r="221" spans="1:26" ht="13.2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26"/>
      <c r="Z221" s="26"/>
    </row>
    <row r="222" spans="1:26" ht="13.2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26"/>
      <c r="Z222" s="26"/>
    </row>
    <row r="223" spans="1:26" ht="13.2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26"/>
      <c r="Z223" s="26"/>
    </row>
    <row r="224" spans="1:26" ht="13.2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26"/>
      <c r="Z224" s="26"/>
    </row>
    <row r="225" spans="1:26" ht="13.2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26"/>
      <c r="Z225" s="26"/>
    </row>
    <row r="226" spans="1:26" ht="13.2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26"/>
      <c r="Z226" s="26"/>
    </row>
    <row r="227" spans="1:26" ht="13.2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26"/>
      <c r="Z227" s="26"/>
    </row>
    <row r="228" spans="1:26" ht="13.2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26"/>
      <c r="Z228" s="26"/>
    </row>
    <row r="229" spans="1:26" ht="13.2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26"/>
      <c r="Z229" s="26"/>
    </row>
    <row r="230" spans="1:26" ht="13.2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26"/>
      <c r="Z230" s="26"/>
    </row>
    <row r="231" spans="1:26" ht="13.2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26"/>
      <c r="Z231" s="26"/>
    </row>
    <row r="232" spans="1:26" ht="13.2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26"/>
      <c r="Z232" s="26"/>
    </row>
    <row r="233" spans="1:26" ht="13.2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26"/>
      <c r="Z233" s="26"/>
    </row>
    <row r="234" spans="1:26" ht="13.2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26"/>
      <c r="Z234" s="26"/>
    </row>
    <row r="235" spans="1:26" ht="13.2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26"/>
      <c r="Z235" s="26"/>
    </row>
    <row r="236" spans="1:26" ht="13.2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26"/>
      <c r="Z236" s="26"/>
    </row>
    <row r="237" spans="1:26" ht="13.2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26"/>
      <c r="Z237" s="26"/>
    </row>
    <row r="238" spans="1:26" ht="13.2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26"/>
      <c r="Z238" s="26"/>
    </row>
    <row r="239" spans="1:26" ht="13.2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26"/>
      <c r="Z239" s="26"/>
    </row>
    <row r="240" spans="1:26" ht="13.2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26"/>
      <c r="Z240" s="26"/>
    </row>
    <row r="241" spans="1:26" ht="13.2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26"/>
      <c r="Z241" s="26"/>
    </row>
    <row r="242" spans="1:26" ht="13.2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26"/>
      <c r="Z242" s="26"/>
    </row>
    <row r="243" spans="1:26" ht="13.2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26"/>
      <c r="Z243" s="26"/>
    </row>
    <row r="244" spans="1:26" ht="13.2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26"/>
      <c r="Z244" s="26"/>
    </row>
    <row r="245" spans="1:26" ht="13.2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26"/>
      <c r="Z245" s="26"/>
    </row>
    <row r="246" spans="1:26" ht="13.2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26"/>
      <c r="Z246" s="26"/>
    </row>
    <row r="247" spans="1:26" ht="13.2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26"/>
      <c r="Z247" s="26"/>
    </row>
    <row r="248" spans="1:26" ht="13.2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26"/>
      <c r="Z248" s="26"/>
    </row>
    <row r="249" spans="1:26" ht="13.2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26"/>
      <c r="Z249" s="26"/>
    </row>
    <row r="250" spans="1:26" ht="13.2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26"/>
      <c r="Z250" s="26"/>
    </row>
    <row r="251" spans="1:26" ht="13.2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26"/>
      <c r="Z251" s="26"/>
    </row>
    <row r="252" spans="1:26" ht="13.2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26"/>
      <c r="Z252" s="26"/>
    </row>
    <row r="253" spans="1:26" ht="13.2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26"/>
      <c r="Z253" s="26"/>
    </row>
    <row r="254" spans="1:26" ht="13.2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26"/>
      <c r="Z254" s="26"/>
    </row>
    <row r="255" spans="1:26" ht="13.2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26"/>
      <c r="Z255" s="26"/>
    </row>
    <row r="256" spans="1:26" ht="13.2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26"/>
      <c r="Z256" s="26"/>
    </row>
    <row r="257" spans="1:26" ht="13.2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26"/>
      <c r="Z257" s="26"/>
    </row>
    <row r="258" spans="1:26" ht="13.2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26"/>
      <c r="Z258" s="26"/>
    </row>
    <row r="259" spans="1:26" ht="13.2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26"/>
      <c r="Z259" s="26"/>
    </row>
    <row r="260" spans="1:26" ht="13.2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26"/>
      <c r="Z260" s="26"/>
    </row>
    <row r="261" spans="1:26" ht="13.2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26"/>
      <c r="Z261" s="26"/>
    </row>
    <row r="262" spans="1:26" ht="13.2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26"/>
      <c r="Z262" s="26"/>
    </row>
    <row r="263" spans="1:26" ht="13.2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26"/>
      <c r="Z263" s="26"/>
    </row>
    <row r="264" spans="1:26" ht="13.2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26"/>
      <c r="Z264" s="26"/>
    </row>
    <row r="265" spans="1:26" ht="13.2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26"/>
      <c r="Z265" s="26"/>
    </row>
    <row r="266" spans="1:26" ht="13.2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26"/>
      <c r="Z266" s="26"/>
    </row>
    <row r="267" spans="1:26" ht="13.2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26"/>
      <c r="Z267" s="26"/>
    </row>
    <row r="268" spans="1:26" ht="13.2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26"/>
      <c r="Z268" s="26"/>
    </row>
    <row r="269" spans="1:26" ht="13.2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26"/>
      <c r="Z269" s="26"/>
    </row>
    <row r="270" spans="1:26" ht="13.2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26"/>
      <c r="Z270" s="26"/>
    </row>
    <row r="271" spans="1:26" ht="13.2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26"/>
      <c r="Z271" s="26"/>
    </row>
    <row r="272" spans="1:26" ht="13.2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26"/>
      <c r="Z272" s="26"/>
    </row>
    <row r="273" spans="1:26" ht="13.2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26"/>
      <c r="Z273" s="26"/>
    </row>
    <row r="274" spans="1:26" ht="13.2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26"/>
      <c r="Z274" s="26"/>
    </row>
    <row r="275" spans="1:26" ht="13.2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26"/>
      <c r="Z275" s="26"/>
    </row>
    <row r="276" spans="1:26" ht="13.2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26"/>
      <c r="Z276" s="26"/>
    </row>
    <row r="277" spans="1:26" ht="13.2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26"/>
      <c r="Z277" s="26"/>
    </row>
    <row r="278" spans="1:26" ht="13.2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26"/>
      <c r="Z278" s="26"/>
    </row>
    <row r="279" spans="1:26" ht="13.2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26"/>
      <c r="Z279" s="26"/>
    </row>
    <row r="280" spans="1:26" ht="13.2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26"/>
      <c r="Z280" s="26"/>
    </row>
    <row r="281" spans="1:26" ht="13.2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26"/>
      <c r="Z281" s="26"/>
    </row>
    <row r="282" spans="1:26" ht="13.2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26"/>
      <c r="Z282" s="26"/>
    </row>
    <row r="283" spans="1:26" ht="13.2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26"/>
      <c r="Z283" s="26"/>
    </row>
    <row r="284" spans="1:26" ht="13.2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26"/>
      <c r="Z284" s="26"/>
    </row>
    <row r="285" spans="1:26" ht="13.2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26"/>
      <c r="Z285" s="26"/>
    </row>
    <row r="286" spans="1:26" ht="13.2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26"/>
      <c r="Z286" s="26"/>
    </row>
    <row r="287" spans="1:26" ht="13.2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26"/>
      <c r="Z287" s="26"/>
    </row>
    <row r="288" spans="1:26" ht="13.2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26"/>
      <c r="Z288" s="26"/>
    </row>
    <row r="289" spans="1:26" ht="13.2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26"/>
      <c r="Z289" s="26"/>
    </row>
    <row r="290" spans="1:26" ht="13.2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26"/>
      <c r="Z290" s="26"/>
    </row>
    <row r="291" spans="1:26" ht="13.2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26"/>
      <c r="Z291" s="26"/>
    </row>
    <row r="292" spans="1:26" ht="13.2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26"/>
      <c r="Z292" s="26"/>
    </row>
    <row r="293" spans="1:26" ht="13.2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26"/>
      <c r="Z293" s="26"/>
    </row>
    <row r="294" spans="1:26" ht="13.2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26"/>
      <c r="Z294" s="26"/>
    </row>
    <row r="295" spans="1:26" ht="13.2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26"/>
      <c r="Z295" s="26"/>
    </row>
    <row r="296" spans="1:26" ht="13.2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26"/>
      <c r="Z296" s="26"/>
    </row>
    <row r="297" spans="1:26" ht="13.2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26"/>
      <c r="Z297" s="26"/>
    </row>
    <row r="298" spans="1:26" ht="13.2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26"/>
      <c r="Z298" s="26"/>
    </row>
    <row r="299" spans="1:26" ht="13.2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26"/>
      <c r="Z299" s="26"/>
    </row>
    <row r="300" spans="1:26" ht="13.2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26"/>
      <c r="Z300" s="26"/>
    </row>
    <row r="301" spans="1:26" ht="13.2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26"/>
      <c r="Z301" s="26"/>
    </row>
    <row r="302" spans="1:26" ht="13.2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26"/>
      <c r="Z302" s="26"/>
    </row>
    <row r="303" spans="1:26" ht="13.2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26"/>
      <c r="Z303" s="26"/>
    </row>
    <row r="304" spans="1:26" ht="13.2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26"/>
      <c r="Z304" s="26"/>
    </row>
    <row r="305" spans="1:26" ht="13.2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26"/>
      <c r="Z305" s="26"/>
    </row>
    <row r="306" spans="1:26" ht="13.2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26"/>
      <c r="Z306" s="26"/>
    </row>
    <row r="307" spans="1:26" ht="13.2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26"/>
      <c r="Z307" s="26"/>
    </row>
    <row r="308" spans="1:26" ht="13.2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26"/>
      <c r="Z308" s="26"/>
    </row>
    <row r="309" spans="1:26" ht="13.2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26"/>
      <c r="Z309" s="26"/>
    </row>
    <row r="310" spans="1:26" ht="13.2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26"/>
      <c r="Z310" s="26"/>
    </row>
    <row r="311" spans="1:26" ht="13.2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26"/>
      <c r="Z311" s="26"/>
    </row>
    <row r="312" spans="1:26" ht="13.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3.2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3.2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3.2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3.2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3.2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3.2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3.2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3.2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3.2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3.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3.2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3.2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3.2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3.2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3.2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3.2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3.2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3.2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3.2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3.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3.2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3.2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3.2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3.2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3.2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3.2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3.2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3.2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3.2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3.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3.2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3.2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3.2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3.2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3.2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3.2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3.2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3.2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3.2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3.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3.2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3.2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3.2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3.2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3.2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3.2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3.2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3.2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3.2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3.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3.2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3.2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3.2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3.2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3.2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3.2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3.2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3.2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3.2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3.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3.2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3.2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3.2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3.2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3.2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3.2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3.2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3.2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3.2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3.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3.2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3.2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3.2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3.2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3.2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3.2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3.2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3.2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3.2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3.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3.2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3.2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3.2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3.2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3.2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3.2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3.2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3.2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3.2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3.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3.2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3.2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3.2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3.2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3.2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3.2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3.2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3.2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3.2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3.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3.2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3.2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3.2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3.2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3.2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3.2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3.2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3.2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3.2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3.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3.2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3.2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3.2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3.2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3.2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3.2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3.2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3.2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3.2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3.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3.2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3.2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3.2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3.2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3.2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3.2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3.2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3.2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3.2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3.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3.2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3.2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3.2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3.2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3.2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3.2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3.2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3.2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3.2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3.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3.2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3.2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3.2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3.2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3.2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3.2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3.2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3.2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3.2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3.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3.2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3.2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3.2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3.2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3.2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3.2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3.2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3.2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3.2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3.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3.2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3.2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3.2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3.2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3.2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3.2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3.2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3.2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3.2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3.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3.2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3.2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3.2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3.2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3.2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3.2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3.2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3.2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3.2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3.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3.2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3.2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3.2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3.2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3.2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3.2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3.2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3.2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3.2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3.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3.2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3.2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3.2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3.2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3.2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3.2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3.2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3.2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3.2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3.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3.2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3.2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3.2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3.2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3.2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3.2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3.2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3.2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3.2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3.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3.2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3.2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3.2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3.2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3.2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3.2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3.2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3.2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3.2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3.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3.2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3.2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3.2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3.2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3.2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3.2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3.2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3.2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3.2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3.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3.2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3.2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3.2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3.2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3.2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3.2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3.2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3.2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3.2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3.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3.2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3.2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3.2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3.2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3.2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3.2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3.2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3.2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3.2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3.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3.2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3.2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3.2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3.2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3.2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3.2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3.2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3.2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3.2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3.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3.2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3.2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3.2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3.2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3.2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3.2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3.2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3.2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3.2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3.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3.2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3.2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3.2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3.2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3.2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3.2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3.2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3.2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3.2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3.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3.2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3.2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3.2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3.2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3.2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3.2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3.2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3.2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3.2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3.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3.2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3.2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3.2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3.2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3.2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3.2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3.2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3.2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3.2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3.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3.2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3.2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3.2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3.2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3.2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3.2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3.2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3.2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3.2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3.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3.2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3.2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3.2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3.2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3.2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3.2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3.2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3.2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3.2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3.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3.2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3.2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3.2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3.2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3.2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3.2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3.2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3.2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3.2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3.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3.2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3.2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3.2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3.2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3.2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3.2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3.2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3.2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3.2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3.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3.2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3.2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3.2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3.2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3.2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3.2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3.2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3.2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3.2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3.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3.2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3.2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3.2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3.2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3.2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3.2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3.2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3.2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3.2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3.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3.2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3.2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3.2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3.2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3.2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3.2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3.2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3.2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3.2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3.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3.2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3.2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3.2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3.2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3.2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3.2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3.2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3.2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3.2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3.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3.2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3.2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3.2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3.2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3.2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3.2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3.2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3.2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3.2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3.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3.2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3.2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3.2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3.2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3.2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3.2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3.2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3.2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3.2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3.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3.2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3.2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3.2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3.2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3.2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3.2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3.2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3.2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3.2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3.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3.2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3.2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3.2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3.2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3.2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3.2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3.2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3.2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3.2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3.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3.2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3.2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3.2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3.2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3.2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3.2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3.2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3.2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3.2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3.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3.2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3.2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3.2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3.2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3.2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3.2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3.2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3.2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3.2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3.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3.2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3.2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3.2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3.2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3.2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3.2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3.2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3.2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3.2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3.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3.2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3.2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3.2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3.2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3.2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3.2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3.2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3.2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3.2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3.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3.2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3.2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3.2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3.2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3.2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3.2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3.2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3.2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3.2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3.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3.2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3.2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3.2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3.2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3.2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3.2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3.2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3.2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3.2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3.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3.2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3.2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3.2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3.2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3.2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3.2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3.2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3.2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3.2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3.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3.2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3.2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3.2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3.2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3.2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3.2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3.2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3.2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3.2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3.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3.2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3.2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3.2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3.2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3.2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3.2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3.2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3.2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3.2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3.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3.2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3.2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3.2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3.2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3.2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3.2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3.2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3.2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3.2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3.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3.2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3.2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3.2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3.2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3.2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3.2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3.2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3.2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3.2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3.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3.2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3.2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3.2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3.2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3.2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3.2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3.2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3.2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3.2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3.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3.2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3.2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3.2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3.2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3.2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3.2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3.2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3.2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3.2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3.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3.2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3.2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3.2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3.2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3.2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3.2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3.2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3.2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3.2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3.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3.2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3.2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3.2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3.2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3.2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3.2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3.2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3.2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3.2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3.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3.2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3.2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3.2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3.2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3.2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3.2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3.2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3.2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3.2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3.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3.2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3.2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3.2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3.2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3.2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3.2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3.2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3.2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3.2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3.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3.2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3.2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3.2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3.2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3.2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3.2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3.2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3.2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3.2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3.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3.2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3.2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3.2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3.2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3.2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3.2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3.2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3.2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3.2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3.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3.2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3.2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3.2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3.2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3.2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3.2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3.2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3.2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3.2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3.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3.2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3.2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3.2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3.2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3.2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3.2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3.2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3.2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3.2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3.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3.2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3.2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3.2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3.2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3.2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3.2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3.2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3.2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3.2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3.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3.2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3.2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3.2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3.2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3.2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3.2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3.2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3.2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3.2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3.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3.2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3.2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3.2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3.2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3.2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3.2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3.2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3.2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3.2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3.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3.2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3.2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3.2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3.2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3.2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3.2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3.2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3.2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3.2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3.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3.2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3.2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3.2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3.2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3.2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3.2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3.2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3.2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3.2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3.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3.2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3.2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3.2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3.2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3.2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3.2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3.2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3.2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spans="1:26" ht="13.2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spans="1:26" ht="13.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spans="1:26" ht="13.2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 spans="1:26" ht="13.2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 spans="1:26" ht="13.2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 spans="1:26" ht="13.2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 spans="1:26" ht="13.2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 spans="1:26" ht="13.2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  <row r="1009" spans="1:26" ht="13.2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</row>
    <row r="1010" spans="1:26" ht="13.2">
      <c r="A1010" s="26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</row>
    <row r="1011" spans="1:26" ht="13.2">
      <c r="A1011" s="26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</row>
    <row r="1012" spans="1:26" ht="13.2">
      <c r="A1012" s="26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</row>
    <row r="1013" spans="1:26" ht="13.2">
      <c r="A1013" s="26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</row>
    <row r="1014" spans="1:26" ht="13.2">
      <c r="A1014" s="26"/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</row>
    <row r="1015" spans="1:26" ht="13.2">
      <c r="A1015" s="26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</row>
    <row r="1016" spans="1:26" ht="13.2">
      <c r="A1016" s="26"/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</row>
    <row r="1017" spans="1:26" ht="13.2">
      <c r="A1017" s="26"/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</row>
    <row r="1018" spans="1:26" ht="13.2">
      <c r="A1018" s="26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</row>
    <row r="1019" spans="1:26" ht="13.2">
      <c r="A1019" s="26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</row>
    <row r="1020" spans="1:26" ht="13.2">
      <c r="A1020" s="26"/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</row>
    <row r="1021" spans="1:26" ht="13.2">
      <c r="A1021" s="26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</row>
    <row r="1022" spans="1:26" ht="13.2">
      <c r="A1022" s="26"/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</row>
  </sheetData>
  <mergeCells count="8">
    <mergeCell ref="A55:A67"/>
    <mergeCell ref="A68:A72"/>
    <mergeCell ref="A73:A101"/>
    <mergeCell ref="G3:H3"/>
    <mergeCell ref="A4:A10"/>
    <mergeCell ref="A11:A12"/>
    <mergeCell ref="A13:A31"/>
    <mergeCell ref="A32:A5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29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/>
  <cols>
    <col min="2" max="2" width="17.21875" customWidth="1"/>
  </cols>
  <sheetData>
    <row r="1" spans="1:25" ht="15.75" customHeight="1">
      <c r="A1" s="110" t="s">
        <v>19</v>
      </c>
      <c r="B1" s="111"/>
      <c r="C1" s="111"/>
      <c r="D1" s="112" t="s">
        <v>283</v>
      </c>
      <c r="E1" s="111"/>
      <c r="F1" s="111"/>
      <c r="G1" s="113">
        <f>E110</f>
        <v>2619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>
      <c r="A2" s="114"/>
      <c r="B2" s="115"/>
      <c r="C2" s="115"/>
      <c r="D2" s="116" t="s">
        <v>284</v>
      </c>
      <c r="E2" s="115"/>
      <c r="F2" s="115"/>
      <c r="G2" s="117">
        <f>E110-G110</f>
        <v>2619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spans="1:25">
      <c r="A3" s="118" t="s">
        <v>285</v>
      </c>
      <c r="B3" s="119" t="s">
        <v>286</v>
      </c>
      <c r="C3" s="119" t="s">
        <v>287</v>
      </c>
      <c r="D3" s="119" t="s">
        <v>288</v>
      </c>
      <c r="E3" s="119" t="s">
        <v>289</v>
      </c>
      <c r="F3" s="217" t="s">
        <v>290</v>
      </c>
      <c r="G3" s="218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 spans="1:25">
      <c r="A4" s="219" t="s">
        <v>264</v>
      </c>
      <c r="B4" s="120"/>
      <c r="C4" s="120"/>
      <c r="D4" s="120"/>
      <c r="E4" s="121">
        <f t="shared" ref="E4:E108" si="0">C4*D4</f>
        <v>0</v>
      </c>
      <c r="F4" s="122">
        <v>0</v>
      </c>
      <c r="G4" s="123">
        <f t="shared" ref="G4:G7" si="1">F4*C4</f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 spans="1:25">
      <c r="A5" s="220"/>
      <c r="B5" s="124"/>
      <c r="C5" s="124"/>
      <c r="D5" s="124"/>
      <c r="E5" s="121">
        <f t="shared" si="0"/>
        <v>0</v>
      </c>
      <c r="F5" s="121">
        <v>0</v>
      </c>
      <c r="G5" s="125">
        <f t="shared" si="1"/>
        <v>0</v>
      </c>
      <c r="H5" s="1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>
      <c r="A6" s="220"/>
      <c r="B6" s="124"/>
      <c r="C6" s="124"/>
      <c r="D6" s="124"/>
      <c r="E6" s="121">
        <f t="shared" si="0"/>
        <v>0</v>
      </c>
      <c r="F6" s="121">
        <v>0</v>
      </c>
      <c r="G6" s="125">
        <f t="shared" si="1"/>
        <v>0</v>
      </c>
      <c r="H6" s="1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spans="1:25">
      <c r="A7" s="220"/>
      <c r="B7" s="124"/>
      <c r="C7" s="124"/>
      <c r="D7" s="124"/>
      <c r="E7" s="121">
        <f t="shared" si="0"/>
        <v>0</v>
      </c>
      <c r="F7" s="121">
        <v>0</v>
      </c>
      <c r="G7" s="125">
        <f t="shared" si="1"/>
        <v>0</v>
      </c>
      <c r="H7" s="1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 spans="1:25">
      <c r="A8" s="220"/>
      <c r="B8" s="124"/>
      <c r="C8" s="124"/>
      <c r="D8" s="124"/>
      <c r="E8" s="121">
        <f t="shared" si="0"/>
        <v>0</v>
      </c>
      <c r="F8" s="121">
        <v>0</v>
      </c>
      <c r="G8" s="125">
        <v>0</v>
      </c>
      <c r="H8" s="1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1:25">
      <c r="A9" s="220"/>
      <c r="B9" s="124"/>
      <c r="C9" s="124"/>
      <c r="D9" s="124"/>
      <c r="E9" s="121">
        <f t="shared" si="0"/>
        <v>0</v>
      </c>
      <c r="F9" s="121">
        <v>0</v>
      </c>
      <c r="G9" s="125">
        <f t="shared" ref="G9:G51" si="2">F9*C9</f>
        <v>0</v>
      </c>
      <c r="H9" s="1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 spans="1:25">
      <c r="A10" s="220"/>
      <c r="B10" s="124"/>
      <c r="C10" s="124"/>
      <c r="D10" s="124"/>
      <c r="E10" s="121">
        <f t="shared" si="0"/>
        <v>0</v>
      </c>
      <c r="F10" s="121">
        <v>0</v>
      </c>
      <c r="G10" s="125">
        <f t="shared" si="2"/>
        <v>0</v>
      </c>
      <c r="H10" s="1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 spans="1:25">
      <c r="A11" s="221"/>
      <c r="B11" s="127"/>
      <c r="C11" s="127"/>
      <c r="D11" s="127"/>
      <c r="E11" s="128">
        <f t="shared" si="0"/>
        <v>0</v>
      </c>
      <c r="F11" s="128">
        <v>0</v>
      </c>
      <c r="G11" s="129">
        <f t="shared" si="2"/>
        <v>0</v>
      </c>
      <c r="H11" s="1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 spans="1:25">
      <c r="A12" s="222" t="s">
        <v>291</v>
      </c>
      <c r="B12" s="130"/>
      <c r="C12" s="130"/>
      <c r="D12" s="130"/>
      <c r="E12" s="131">
        <f t="shared" si="0"/>
        <v>0</v>
      </c>
      <c r="F12" s="132">
        <v>0</v>
      </c>
      <c r="G12" s="133">
        <f t="shared" si="2"/>
        <v>0</v>
      </c>
      <c r="H12" s="1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 spans="1:25">
      <c r="A13" s="220"/>
      <c r="B13" s="134"/>
      <c r="C13" s="134"/>
      <c r="D13" s="134"/>
      <c r="E13" s="131">
        <f t="shared" si="0"/>
        <v>0</v>
      </c>
      <c r="F13" s="131">
        <v>0</v>
      </c>
      <c r="G13" s="135">
        <f t="shared" si="2"/>
        <v>0</v>
      </c>
      <c r="H13" s="1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 spans="1:25">
      <c r="A14" s="220"/>
      <c r="B14" s="134"/>
      <c r="C14" s="134"/>
      <c r="D14" s="134"/>
      <c r="E14" s="131">
        <f t="shared" si="0"/>
        <v>0</v>
      </c>
      <c r="F14" s="131">
        <v>0</v>
      </c>
      <c r="G14" s="135">
        <f t="shared" si="2"/>
        <v>0</v>
      </c>
      <c r="H14" s="1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 spans="1:25">
      <c r="A15" s="220"/>
      <c r="B15" s="134"/>
      <c r="C15" s="134"/>
      <c r="D15" s="134"/>
      <c r="E15" s="131">
        <f t="shared" si="0"/>
        <v>0</v>
      </c>
      <c r="F15" s="131">
        <v>0</v>
      </c>
      <c r="G15" s="135">
        <f t="shared" si="2"/>
        <v>0</v>
      </c>
      <c r="H15" s="1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spans="1:25">
      <c r="A16" s="220"/>
      <c r="B16" s="134"/>
      <c r="C16" s="134"/>
      <c r="D16" s="134"/>
      <c r="E16" s="131">
        <f t="shared" si="0"/>
        <v>0</v>
      </c>
      <c r="F16" s="131">
        <v>0</v>
      </c>
      <c r="G16" s="135">
        <f t="shared" si="2"/>
        <v>0</v>
      </c>
      <c r="H16" s="1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 spans="1:25">
      <c r="A17" s="220"/>
      <c r="B17" s="134"/>
      <c r="C17" s="134"/>
      <c r="D17" s="134"/>
      <c r="E17" s="131">
        <f t="shared" si="0"/>
        <v>0</v>
      </c>
      <c r="F17" s="131">
        <v>0</v>
      </c>
      <c r="G17" s="135">
        <f t="shared" si="2"/>
        <v>0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spans="1:25">
      <c r="A18" s="220"/>
      <c r="B18" s="134"/>
      <c r="C18" s="134"/>
      <c r="D18" s="134"/>
      <c r="E18" s="131">
        <f t="shared" si="0"/>
        <v>0</v>
      </c>
      <c r="F18" s="131">
        <v>0</v>
      </c>
      <c r="G18" s="135">
        <f t="shared" si="2"/>
        <v>0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spans="1:25">
      <c r="A19" s="221"/>
      <c r="B19" s="136"/>
      <c r="C19" s="136"/>
      <c r="D19" s="136"/>
      <c r="E19" s="137">
        <f t="shared" si="0"/>
        <v>0</v>
      </c>
      <c r="F19" s="137">
        <v>0</v>
      </c>
      <c r="G19" s="138">
        <f t="shared" si="2"/>
        <v>0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spans="1:25">
      <c r="A20" s="223" t="s">
        <v>292</v>
      </c>
      <c r="B20" s="193" t="s">
        <v>319</v>
      </c>
      <c r="C20" s="193">
        <v>478</v>
      </c>
      <c r="D20" s="193">
        <v>1</v>
      </c>
      <c r="E20" s="140">
        <f t="shared" si="0"/>
        <v>478</v>
      </c>
      <c r="F20" s="141">
        <v>0</v>
      </c>
      <c r="G20" s="142">
        <f t="shared" si="2"/>
        <v>0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spans="1:25">
      <c r="A21" s="220"/>
      <c r="B21" s="143"/>
      <c r="C21" s="143"/>
      <c r="D21" s="143"/>
      <c r="E21" s="140">
        <f t="shared" si="0"/>
        <v>0</v>
      </c>
      <c r="F21" s="140">
        <v>0</v>
      </c>
      <c r="G21" s="144">
        <f t="shared" si="2"/>
        <v>0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spans="1:25">
      <c r="A22" s="220"/>
      <c r="B22" s="143"/>
      <c r="C22" s="143"/>
      <c r="D22" s="143"/>
      <c r="E22" s="140">
        <f t="shared" si="0"/>
        <v>0</v>
      </c>
      <c r="F22" s="140">
        <v>0</v>
      </c>
      <c r="G22" s="144">
        <f t="shared" si="2"/>
        <v>0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spans="1:25">
      <c r="A23" s="220"/>
      <c r="B23" s="143"/>
      <c r="C23" s="143"/>
      <c r="D23" s="143"/>
      <c r="E23" s="140">
        <f t="shared" si="0"/>
        <v>0</v>
      </c>
      <c r="F23" s="140">
        <v>0</v>
      </c>
      <c r="G23" s="144">
        <f t="shared" si="2"/>
        <v>0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spans="1:25">
      <c r="A24" s="220"/>
      <c r="B24" s="143"/>
      <c r="C24" s="143"/>
      <c r="D24" s="143"/>
      <c r="E24" s="140">
        <f t="shared" si="0"/>
        <v>0</v>
      </c>
      <c r="F24" s="140">
        <v>0</v>
      </c>
      <c r="G24" s="144">
        <f t="shared" si="2"/>
        <v>0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>
      <c r="A25" s="220"/>
      <c r="B25" s="143"/>
      <c r="C25" s="143"/>
      <c r="D25" s="143"/>
      <c r="E25" s="140">
        <f t="shared" si="0"/>
        <v>0</v>
      </c>
      <c r="F25" s="140">
        <v>0</v>
      </c>
      <c r="G25" s="144">
        <f t="shared" si="2"/>
        <v>0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spans="1:25">
      <c r="A26" s="220"/>
      <c r="B26" s="143"/>
      <c r="C26" s="143"/>
      <c r="D26" s="143"/>
      <c r="E26" s="140">
        <f t="shared" si="0"/>
        <v>0</v>
      </c>
      <c r="F26" s="140">
        <v>0</v>
      </c>
      <c r="G26" s="144">
        <f t="shared" si="2"/>
        <v>0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spans="1:25">
      <c r="A27" s="220"/>
      <c r="B27" s="143"/>
      <c r="C27" s="143"/>
      <c r="D27" s="143"/>
      <c r="E27" s="140">
        <f t="shared" si="0"/>
        <v>0</v>
      </c>
      <c r="F27" s="140">
        <v>0</v>
      </c>
      <c r="G27" s="144">
        <f t="shared" si="2"/>
        <v>0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spans="1:25">
      <c r="A28" s="220"/>
      <c r="B28" s="143"/>
      <c r="C28" s="143"/>
      <c r="D28" s="143"/>
      <c r="E28" s="140">
        <f t="shared" si="0"/>
        <v>0</v>
      </c>
      <c r="F28" s="140">
        <v>0</v>
      </c>
      <c r="G28" s="144">
        <f t="shared" si="2"/>
        <v>0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spans="1:25">
      <c r="A29" s="220"/>
      <c r="B29" s="143"/>
      <c r="C29" s="143"/>
      <c r="D29" s="143"/>
      <c r="E29" s="140">
        <f t="shared" si="0"/>
        <v>0</v>
      </c>
      <c r="F29" s="140">
        <v>0</v>
      </c>
      <c r="G29" s="144">
        <f t="shared" si="2"/>
        <v>0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spans="1:25">
      <c r="A30" s="220"/>
      <c r="B30" s="143"/>
      <c r="C30" s="143"/>
      <c r="D30" s="143"/>
      <c r="E30" s="140">
        <f t="shared" si="0"/>
        <v>0</v>
      </c>
      <c r="F30" s="140">
        <v>0</v>
      </c>
      <c r="G30" s="144">
        <f t="shared" si="2"/>
        <v>0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spans="1:25" ht="13.2">
      <c r="A31" s="220"/>
      <c r="B31" s="143"/>
      <c r="C31" s="143"/>
      <c r="D31" s="143"/>
      <c r="E31" s="140">
        <f t="shared" si="0"/>
        <v>0</v>
      </c>
      <c r="F31" s="140">
        <v>0</v>
      </c>
      <c r="G31" s="144">
        <f t="shared" si="2"/>
        <v>0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 ht="13.2">
      <c r="A32" s="220"/>
      <c r="B32" s="143"/>
      <c r="C32" s="143"/>
      <c r="D32" s="143"/>
      <c r="E32" s="140">
        <f t="shared" si="0"/>
        <v>0</v>
      </c>
      <c r="F32" s="140">
        <v>0</v>
      </c>
      <c r="G32" s="144">
        <f t="shared" si="2"/>
        <v>0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 ht="13.2">
      <c r="A33" s="220"/>
      <c r="B33" s="143"/>
      <c r="C33" s="143"/>
      <c r="D33" s="143"/>
      <c r="E33" s="140">
        <f t="shared" si="0"/>
        <v>0</v>
      </c>
      <c r="F33" s="140">
        <v>0</v>
      </c>
      <c r="G33" s="144">
        <f t="shared" si="2"/>
        <v>0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 ht="13.2">
      <c r="A34" s="220"/>
      <c r="B34" s="143"/>
      <c r="C34" s="143"/>
      <c r="D34" s="143"/>
      <c r="E34" s="140">
        <f t="shared" si="0"/>
        <v>0</v>
      </c>
      <c r="F34" s="140">
        <v>0</v>
      </c>
      <c r="G34" s="144">
        <f t="shared" si="2"/>
        <v>0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 ht="13.2">
      <c r="A35" s="220"/>
      <c r="B35" s="143"/>
      <c r="C35" s="143"/>
      <c r="D35" s="143"/>
      <c r="E35" s="140">
        <f t="shared" si="0"/>
        <v>0</v>
      </c>
      <c r="F35" s="140">
        <v>0</v>
      </c>
      <c r="G35" s="144">
        <f t="shared" si="2"/>
        <v>0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 ht="13.2">
      <c r="A36" s="220"/>
      <c r="B36" s="143"/>
      <c r="C36" s="143"/>
      <c r="D36" s="143"/>
      <c r="E36" s="140">
        <f t="shared" si="0"/>
        <v>0</v>
      </c>
      <c r="F36" s="140">
        <v>0</v>
      </c>
      <c r="G36" s="144">
        <f t="shared" si="2"/>
        <v>0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ht="13.2">
      <c r="A37" s="220"/>
      <c r="B37" s="143"/>
      <c r="C37" s="143"/>
      <c r="D37" s="143"/>
      <c r="E37" s="140">
        <f t="shared" si="0"/>
        <v>0</v>
      </c>
      <c r="F37" s="140">
        <v>0</v>
      </c>
      <c r="G37" s="144">
        <f t="shared" si="2"/>
        <v>0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 ht="13.2">
      <c r="A38" s="221"/>
      <c r="B38" s="145"/>
      <c r="C38" s="145"/>
      <c r="D38" s="145"/>
      <c r="E38" s="146">
        <f t="shared" si="0"/>
        <v>0</v>
      </c>
      <c r="F38" s="146">
        <v>0</v>
      </c>
      <c r="G38" s="147">
        <f t="shared" si="2"/>
        <v>0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ht="13.2">
      <c r="A39" s="224" t="s">
        <v>293</v>
      </c>
      <c r="B39" s="187" t="s">
        <v>320</v>
      </c>
      <c r="C39" s="187">
        <v>490</v>
      </c>
      <c r="D39" s="187">
        <v>2</v>
      </c>
      <c r="E39" s="149">
        <f t="shared" si="0"/>
        <v>980</v>
      </c>
      <c r="F39" s="150">
        <v>0</v>
      </c>
      <c r="G39" s="151">
        <f t="shared" si="2"/>
        <v>0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 ht="13.2">
      <c r="A40" s="220"/>
      <c r="B40" s="194" t="s">
        <v>321</v>
      </c>
      <c r="C40" s="194">
        <v>376</v>
      </c>
      <c r="D40" s="194">
        <v>1</v>
      </c>
      <c r="E40" s="149">
        <f t="shared" si="0"/>
        <v>376</v>
      </c>
      <c r="F40" s="149">
        <v>0</v>
      </c>
      <c r="G40" s="153">
        <f t="shared" si="2"/>
        <v>0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 ht="13.2">
      <c r="A41" s="220"/>
      <c r="B41" s="194" t="s">
        <v>322</v>
      </c>
      <c r="C41" s="194">
        <v>80</v>
      </c>
      <c r="D41" s="194">
        <v>1</v>
      </c>
      <c r="E41" s="149">
        <f t="shared" si="0"/>
        <v>80</v>
      </c>
      <c r="F41" s="149">
        <v>0</v>
      </c>
      <c r="G41" s="153">
        <f t="shared" si="2"/>
        <v>0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 ht="13.2">
      <c r="A42" s="220"/>
      <c r="B42" s="152"/>
      <c r="C42" s="152"/>
      <c r="D42" s="152"/>
      <c r="E42" s="149">
        <f t="shared" si="0"/>
        <v>0</v>
      </c>
      <c r="F42" s="149">
        <v>0</v>
      </c>
      <c r="G42" s="153">
        <f t="shared" si="2"/>
        <v>0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 ht="13.2">
      <c r="A43" s="220"/>
      <c r="B43" s="152"/>
      <c r="C43" s="152"/>
      <c r="D43" s="152"/>
      <c r="E43" s="149">
        <f t="shared" si="0"/>
        <v>0</v>
      </c>
      <c r="F43" s="149">
        <v>0</v>
      </c>
      <c r="G43" s="153">
        <f t="shared" si="2"/>
        <v>0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 ht="13.2">
      <c r="A44" s="220"/>
      <c r="B44" s="152"/>
      <c r="C44" s="152"/>
      <c r="D44" s="152"/>
      <c r="E44" s="149">
        <f t="shared" si="0"/>
        <v>0</v>
      </c>
      <c r="F44" s="149">
        <v>0</v>
      </c>
      <c r="G44" s="153">
        <f t="shared" si="2"/>
        <v>0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 ht="13.2">
      <c r="A45" s="220"/>
      <c r="B45" s="152"/>
      <c r="C45" s="152"/>
      <c r="D45" s="152"/>
      <c r="E45" s="149">
        <f t="shared" si="0"/>
        <v>0</v>
      </c>
      <c r="F45" s="149">
        <v>0</v>
      </c>
      <c r="G45" s="153">
        <f t="shared" si="2"/>
        <v>0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 ht="13.2">
      <c r="A46" s="220"/>
      <c r="B46" s="152"/>
      <c r="C46" s="152"/>
      <c r="D46" s="152"/>
      <c r="E46" s="149">
        <f t="shared" si="0"/>
        <v>0</v>
      </c>
      <c r="F46" s="149">
        <v>0</v>
      </c>
      <c r="G46" s="153">
        <f t="shared" si="2"/>
        <v>0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 ht="13.2">
      <c r="A47" s="220"/>
      <c r="B47" s="152"/>
      <c r="C47" s="152"/>
      <c r="D47" s="152"/>
      <c r="E47" s="149">
        <f t="shared" si="0"/>
        <v>0</v>
      </c>
      <c r="F47" s="149">
        <v>0</v>
      </c>
      <c r="G47" s="153">
        <f t="shared" si="2"/>
        <v>0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 ht="13.2">
      <c r="A48" s="220"/>
      <c r="B48" s="152"/>
      <c r="C48" s="152"/>
      <c r="D48" s="152"/>
      <c r="E48" s="149">
        <f t="shared" si="0"/>
        <v>0</v>
      </c>
      <c r="F48" s="149">
        <v>0</v>
      </c>
      <c r="G48" s="153">
        <f t="shared" si="2"/>
        <v>0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 ht="13.2">
      <c r="A49" s="220"/>
      <c r="B49" s="152"/>
      <c r="C49" s="152"/>
      <c r="D49" s="152"/>
      <c r="E49" s="149">
        <f t="shared" si="0"/>
        <v>0</v>
      </c>
      <c r="F49" s="149">
        <v>0</v>
      </c>
      <c r="G49" s="153">
        <f t="shared" si="2"/>
        <v>0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 ht="13.2">
      <c r="A50" s="220"/>
      <c r="B50" s="152"/>
      <c r="C50" s="152"/>
      <c r="D50" s="152"/>
      <c r="E50" s="149">
        <f t="shared" si="0"/>
        <v>0</v>
      </c>
      <c r="F50" s="149">
        <v>0</v>
      </c>
      <c r="G50" s="153">
        <f t="shared" si="2"/>
        <v>0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1:25" ht="13.2">
      <c r="A51" s="220"/>
      <c r="B51" s="152"/>
      <c r="C51" s="152"/>
      <c r="D51" s="152"/>
      <c r="E51" s="149">
        <f t="shared" si="0"/>
        <v>0</v>
      </c>
      <c r="F51" s="149">
        <v>0</v>
      </c>
      <c r="G51" s="153">
        <f t="shared" si="2"/>
        <v>0</v>
      </c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 ht="13.2">
      <c r="A52" s="220"/>
      <c r="B52" s="152"/>
      <c r="C52" s="152"/>
      <c r="D52" s="152"/>
      <c r="E52" s="149">
        <f t="shared" si="0"/>
        <v>0</v>
      </c>
      <c r="F52" s="149">
        <v>0</v>
      </c>
      <c r="G52" s="153">
        <v>0</v>
      </c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spans="1:25" ht="13.2">
      <c r="A53" s="220"/>
      <c r="B53" s="152"/>
      <c r="C53" s="152"/>
      <c r="D53" s="152"/>
      <c r="E53" s="149">
        <f t="shared" si="0"/>
        <v>0</v>
      </c>
      <c r="F53" s="149">
        <v>0</v>
      </c>
      <c r="G53" s="153">
        <v>0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spans="1:25" ht="13.2">
      <c r="A54" s="220"/>
      <c r="B54" s="152"/>
      <c r="C54" s="152"/>
      <c r="D54" s="152"/>
      <c r="E54" s="149">
        <f t="shared" si="0"/>
        <v>0</v>
      </c>
      <c r="F54" s="149">
        <v>0</v>
      </c>
      <c r="G54" s="153">
        <v>0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 ht="13.2">
      <c r="A55" s="220"/>
      <c r="B55" s="152"/>
      <c r="C55" s="152"/>
      <c r="D55" s="152"/>
      <c r="E55" s="149">
        <f t="shared" si="0"/>
        <v>0</v>
      </c>
      <c r="F55" s="149">
        <v>0</v>
      </c>
      <c r="G55" s="153">
        <v>0</v>
      </c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spans="1:25" ht="13.2">
      <c r="A56" s="220"/>
      <c r="B56" s="152"/>
      <c r="C56" s="152"/>
      <c r="D56" s="152"/>
      <c r="E56" s="149">
        <f t="shared" si="0"/>
        <v>0</v>
      </c>
      <c r="F56" s="149">
        <v>0</v>
      </c>
      <c r="G56" s="153">
        <v>0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 ht="13.2">
      <c r="A57" s="220"/>
      <c r="B57" s="152"/>
      <c r="C57" s="152"/>
      <c r="D57" s="152"/>
      <c r="E57" s="149">
        <f t="shared" si="0"/>
        <v>0</v>
      </c>
      <c r="F57" s="149">
        <v>0</v>
      </c>
      <c r="G57" s="153">
        <f t="shared" ref="G57:G78" si="3">F57*C57</f>
        <v>0</v>
      </c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 ht="13.2">
      <c r="A58" s="220"/>
      <c r="B58" s="152"/>
      <c r="C58" s="152"/>
      <c r="D58" s="152"/>
      <c r="E58" s="149">
        <f t="shared" si="0"/>
        <v>0</v>
      </c>
      <c r="F58" s="149">
        <v>0</v>
      </c>
      <c r="G58" s="153">
        <f t="shared" si="3"/>
        <v>0</v>
      </c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 ht="13.2">
      <c r="A59" s="220"/>
      <c r="B59" s="152"/>
      <c r="C59" s="152"/>
      <c r="D59" s="152"/>
      <c r="E59" s="149">
        <f t="shared" si="0"/>
        <v>0</v>
      </c>
      <c r="F59" s="149">
        <v>0</v>
      </c>
      <c r="G59" s="153">
        <f t="shared" si="3"/>
        <v>0</v>
      </c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 ht="13.2">
      <c r="A60" s="220"/>
      <c r="B60" s="152"/>
      <c r="C60" s="152"/>
      <c r="D60" s="152"/>
      <c r="E60" s="149">
        <f t="shared" si="0"/>
        <v>0</v>
      </c>
      <c r="F60" s="149">
        <v>0</v>
      </c>
      <c r="G60" s="153">
        <f t="shared" si="3"/>
        <v>0</v>
      </c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1:25" ht="13.2">
      <c r="A61" s="221"/>
      <c r="B61" s="154"/>
      <c r="C61" s="154"/>
      <c r="D61" s="154"/>
      <c r="E61" s="155">
        <f t="shared" si="0"/>
        <v>0</v>
      </c>
      <c r="F61" s="155">
        <v>0</v>
      </c>
      <c r="G61" s="156">
        <f t="shared" si="3"/>
        <v>0</v>
      </c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 ht="13.2">
      <c r="A62" s="225" t="s">
        <v>294</v>
      </c>
      <c r="B62" s="120"/>
      <c r="C62" s="120"/>
      <c r="D62" s="120"/>
      <c r="E62" s="121">
        <f t="shared" si="0"/>
        <v>0</v>
      </c>
      <c r="F62" s="122">
        <v>0</v>
      </c>
      <c r="G62" s="123">
        <f t="shared" si="3"/>
        <v>0</v>
      </c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 ht="13.2">
      <c r="A63" s="220"/>
      <c r="B63" s="124"/>
      <c r="C63" s="124"/>
      <c r="D63" s="124"/>
      <c r="E63" s="121">
        <f t="shared" si="0"/>
        <v>0</v>
      </c>
      <c r="F63" s="121">
        <v>0</v>
      </c>
      <c r="G63" s="125">
        <f t="shared" si="3"/>
        <v>0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5" ht="13.2">
      <c r="A64" s="220"/>
      <c r="B64" s="124"/>
      <c r="C64" s="124"/>
      <c r="D64" s="124"/>
      <c r="E64" s="121">
        <f t="shared" si="0"/>
        <v>0</v>
      </c>
      <c r="F64" s="121">
        <v>0</v>
      </c>
      <c r="G64" s="125">
        <f t="shared" si="3"/>
        <v>0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spans="1:25" ht="13.2">
      <c r="A65" s="220"/>
      <c r="B65" s="124"/>
      <c r="C65" s="124"/>
      <c r="D65" s="124"/>
      <c r="E65" s="121">
        <f t="shared" si="0"/>
        <v>0</v>
      </c>
      <c r="F65" s="121">
        <v>0</v>
      </c>
      <c r="G65" s="125">
        <f t="shared" si="3"/>
        <v>0</v>
      </c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spans="1:25" ht="13.2">
      <c r="A66" s="220"/>
      <c r="B66" s="124"/>
      <c r="C66" s="124"/>
      <c r="D66" s="124"/>
      <c r="E66" s="121">
        <f t="shared" si="0"/>
        <v>0</v>
      </c>
      <c r="F66" s="121">
        <v>0</v>
      </c>
      <c r="G66" s="125">
        <f t="shared" si="3"/>
        <v>0</v>
      </c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:25" ht="13.2">
      <c r="A67" s="220"/>
      <c r="B67" s="124"/>
      <c r="C67" s="124"/>
      <c r="D67" s="124"/>
      <c r="E67" s="121">
        <f t="shared" si="0"/>
        <v>0</v>
      </c>
      <c r="F67" s="121">
        <v>0</v>
      </c>
      <c r="G67" s="125">
        <f t="shared" si="3"/>
        <v>0</v>
      </c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 ht="13.2">
      <c r="A68" s="220"/>
      <c r="B68" s="124"/>
      <c r="C68" s="124"/>
      <c r="D68" s="124"/>
      <c r="E68" s="121">
        <f t="shared" si="0"/>
        <v>0</v>
      </c>
      <c r="F68" s="121">
        <v>0</v>
      </c>
      <c r="G68" s="125">
        <f t="shared" si="3"/>
        <v>0</v>
      </c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:25" ht="13.2">
      <c r="A69" s="220"/>
      <c r="B69" s="124"/>
      <c r="C69" s="124"/>
      <c r="D69" s="124"/>
      <c r="E69" s="121">
        <f t="shared" si="0"/>
        <v>0</v>
      </c>
      <c r="F69" s="121">
        <v>0</v>
      </c>
      <c r="G69" s="125">
        <f t="shared" si="3"/>
        <v>0</v>
      </c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 ht="13.2">
      <c r="A70" s="220"/>
      <c r="B70" s="124"/>
      <c r="C70" s="124"/>
      <c r="D70" s="124"/>
      <c r="E70" s="121">
        <f t="shared" si="0"/>
        <v>0</v>
      </c>
      <c r="F70" s="121">
        <v>0</v>
      </c>
      <c r="G70" s="125">
        <f t="shared" si="3"/>
        <v>0</v>
      </c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spans="1:25" ht="13.2">
      <c r="A71" s="220"/>
      <c r="B71" s="124"/>
      <c r="C71" s="124"/>
      <c r="D71" s="124"/>
      <c r="E71" s="121">
        <f t="shared" si="0"/>
        <v>0</v>
      </c>
      <c r="F71" s="121">
        <v>0</v>
      </c>
      <c r="G71" s="125">
        <f t="shared" si="3"/>
        <v>0</v>
      </c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spans="1:25" ht="13.2">
      <c r="A72" s="220"/>
      <c r="B72" s="124"/>
      <c r="C72" s="124"/>
      <c r="D72" s="124"/>
      <c r="E72" s="121">
        <f t="shared" si="0"/>
        <v>0</v>
      </c>
      <c r="F72" s="121">
        <v>0</v>
      </c>
      <c r="G72" s="125">
        <f t="shared" si="3"/>
        <v>0</v>
      </c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spans="1:25" ht="13.2">
      <c r="A73" s="220"/>
      <c r="B73" s="124"/>
      <c r="C73" s="124"/>
      <c r="D73" s="124"/>
      <c r="E73" s="121">
        <f t="shared" si="0"/>
        <v>0</v>
      </c>
      <c r="F73" s="121">
        <v>0</v>
      </c>
      <c r="G73" s="125">
        <f t="shared" si="3"/>
        <v>0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spans="1:25" ht="13.2">
      <c r="A74" s="221"/>
      <c r="B74" s="127"/>
      <c r="C74" s="127"/>
      <c r="D74" s="127"/>
      <c r="E74" s="128">
        <f t="shared" si="0"/>
        <v>0</v>
      </c>
      <c r="F74" s="128">
        <v>0</v>
      </c>
      <c r="G74" s="129">
        <f t="shared" si="3"/>
        <v>0</v>
      </c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spans="1:25" ht="13.2">
      <c r="A75" s="226" t="s">
        <v>295</v>
      </c>
      <c r="B75" s="195" t="s">
        <v>323</v>
      </c>
      <c r="C75" s="195">
        <v>225</v>
      </c>
      <c r="D75" s="195">
        <v>1</v>
      </c>
      <c r="E75" s="158">
        <f t="shared" si="0"/>
        <v>225</v>
      </c>
      <c r="F75" s="159">
        <v>0</v>
      </c>
      <c r="G75" s="160">
        <f t="shared" si="3"/>
        <v>0</v>
      </c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spans="1:25" ht="13.2">
      <c r="A76" s="220"/>
      <c r="B76" s="161"/>
      <c r="C76" s="161"/>
      <c r="D76" s="161"/>
      <c r="E76" s="158">
        <f t="shared" si="0"/>
        <v>0</v>
      </c>
      <c r="F76" s="158">
        <v>0</v>
      </c>
      <c r="G76" s="162">
        <f t="shared" si="3"/>
        <v>0</v>
      </c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 ht="13.2">
      <c r="A77" s="220"/>
      <c r="B77" s="161"/>
      <c r="C77" s="161"/>
      <c r="D77" s="161"/>
      <c r="E77" s="158">
        <f t="shared" si="0"/>
        <v>0</v>
      </c>
      <c r="F77" s="158">
        <v>0</v>
      </c>
      <c r="G77" s="162">
        <f t="shared" si="3"/>
        <v>0</v>
      </c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spans="1:25" ht="13.2">
      <c r="A78" s="220"/>
      <c r="B78" s="161"/>
      <c r="C78" s="161"/>
      <c r="D78" s="161"/>
      <c r="E78" s="158">
        <f t="shared" si="0"/>
        <v>0</v>
      </c>
      <c r="F78" s="158">
        <v>0</v>
      </c>
      <c r="G78" s="162">
        <f t="shared" si="3"/>
        <v>0</v>
      </c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spans="1:25" ht="13.2">
      <c r="A79" s="221"/>
      <c r="B79" s="163"/>
      <c r="C79" s="163"/>
      <c r="D79" s="163"/>
      <c r="E79" s="164">
        <f t="shared" si="0"/>
        <v>0</v>
      </c>
      <c r="F79" s="164">
        <v>0</v>
      </c>
      <c r="G79" s="165">
        <v>0</v>
      </c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spans="1:25" ht="13.2">
      <c r="A80" s="227" t="s">
        <v>296</v>
      </c>
      <c r="B80" s="196" t="s">
        <v>324</v>
      </c>
      <c r="C80" s="166">
        <f>16*30</f>
        <v>480</v>
      </c>
      <c r="D80" s="196">
        <v>1</v>
      </c>
      <c r="E80" s="167">
        <f t="shared" si="0"/>
        <v>480</v>
      </c>
      <c r="F80" s="168">
        <v>0</v>
      </c>
      <c r="G80" s="169">
        <f t="shared" ref="G80:G108" si="4">F80*C80</f>
        <v>0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spans="1:25" ht="13.2">
      <c r="A81" s="220"/>
      <c r="B81" s="197" t="s">
        <v>325</v>
      </c>
      <c r="C81" s="170">
        <f>16*10</f>
        <v>160</v>
      </c>
      <c r="D81" s="170"/>
      <c r="E81" s="167">
        <f t="shared" si="0"/>
        <v>0</v>
      </c>
      <c r="F81" s="167">
        <v>0</v>
      </c>
      <c r="G81" s="171">
        <f t="shared" si="4"/>
        <v>0</v>
      </c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 ht="13.2">
      <c r="A82" s="220"/>
      <c r="B82" s="170"/>
      <c r="C82" s="170"/>
      <c r="D82" s="170"/>
      <c r="E82" s="167">
        <f t="shared" si="0"/>
        <v>0</v>
      </c>
      <c r="F82" s="167">
        <v>0</v>
      </c>
      <c r="G82" s="171">
        <f t="shared" si="4"/>
        <v>0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spans="1:25" ht="13.2">
      <c r="A83" s="220"/>
      <c r="B83" s="170"/>
      <c r="C83" s="170"/>
      <c r="D83" s="170"/>
      <c r="E83" s="167">
        <f t="shared" si="0"/>
        <v>0</v>
      </c>
      <c r="F83" s="167">
        <v>0</v>
      </c>
      <c r="G83" s="171">
        <f t="shared" si="4"/>
        <v>0</v>
      </c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spans="1:25" ht="13.2">
      <c r="A84" s="220"/>
      <c r="B84" s="170"/>
      <c r="C84" s="170"/>
      <c r="D84" s="170"/>
      <c r="E84" s="167">
        <f t="shared" si="0"/>
        <v>0</v>
      </c>
      <c r="F84" s="167">
        <v>0</v>
      </c>
      <c r="G84" s="171">
        <f t="shared" si="4"/>
        <v>0</v>
      </c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 ht="13.2">
      <c r="A85" s="220"/>
      <c r="B85" s="170"/>
      <c r="C85" s="170"/>
      <c r="D85" s="170"/>
      <c r="E85" s="167">
        <f t="shared" si="0"/>
        <v>0</v>
      </c>
      <c r="F85" s="167">
        <v>0</v>
      </c>
      <c r="G85" s="171">
        <f t="shared" si="4"/>
        <v>0</v>
      </c>
      <c r="H85" s="26"/>
      <c r="I85" s="26" t="s">
        <v>184</v>
      </c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spans="1:25" ht="13.2">
      <c r="A86" s="220"/>
      <c r="B86" s="170"/>
      <c r="C86" s="170"/>
      <c r="D86" s="170"/>
      <c r="E86" s="167">
        <f t="shared" si="0"/>
        <v>0</v>
      </c>
      <c r="F86" s="167">
        <v>0</v>
      </c>
      <c r="G86" s="171">
        <f t="shared" si="4"/>
        <v>0</v>
      </c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 ht="13.2">
      <c r="A87" s="220"/>
      <c r="B87" s="170"/>
      <c r="C87" s="170"/>
      <c r="D87" s="170"/>
      <c r="E87" s="167">
        <f t="shared" si="0"/>
        <v>0</v>
      </c>
      <c r="F87" s="167">
        <v>0</v>
      </c>
      <c r="G87" s="171">
        <f t="shared" si="4"/>
        <v>0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spans="1:25" ht="13.2">
      <c r="A88" s="220"/>
      <c r="B88" s="170"/>
      <c r="C88" s="170"/>
      <c r="D88" s="170"/>
      <c r="E88" s="167">
        <f t="shared" si="0"/>
        <v>0</v>
      </c>
      <c r="F88" s="167">
        <v>0</v>
      </c>
      <c r="G88" s="171">
        <f t="shared" si="4"/>
        <v>0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 ht="13.2">
      <c r="A89" s="220"/>
      <c r="B89" s="170"/>
      <c r="C89" s="170"/>
      <c r="D89" s="170"/>
      <c r="E89" s="167">
        <f t="shared" si="0"/>
        <v>0</v>
      </c>
      <c r="F89" s="167">
        <v>0</v>
      </c>
      <c r="G89" s="171">
        <f t="shared" si="4"/>
        <v>0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spans="1:25" ht="13.2">
      <c r="A90" s="220"/>
      <c r="B90" s="170"/>
      <c r="C90" s="170"/>
      <c r="D90" s="170"/>
      <c r="E90" s="167">
        <f t="shared" si="0"/>
        <v>0</v>
      </c>
      <c r="F90" s="167">
        <v>0</v>
      </c>
      <c r="G90" s="171">
        <f t="shared" si="4"/>
        <v>0</v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 ht="13.2">
      <c r="A91" s="220"/>
      <c r="B91" s="170"/>
      <c r="C91" s="170"/>
      <c r="D91" s="170"/>
      <c r="E91" s="167">
        <f t="shared" si="0"/>
        <v>0</v>
      </c>
      <c r="F91" s="167">
        <v>0</v>
      </c>
      <c r="G91" s="171">
        <f t="shared" si="4"/>
        <v>0</v>
      </c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spans="1:25" ht="13.2">
      <c r="A92" s="220"/>
      <c r="B92" s="170"/>
      <c r="C92" s="170"/>
      <c r="D92" s="170"/>
      <c r="E92" s="167">
        <f t="shared" si="0"/>
        <v>0</v>
      </c>
      <c r="F92" s="167">
        <v>0</v>
      </c>
      <c r="G92" s="171">
        <f t="shared" si="4"/>
        <v>0</v>
      </c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 ht="13.2">
      <c r="A93" s="220"/>
      <c r="B93" s="170"/>
      <c r="C93" s="170"/>
      <c r="D93" s="170"/>
      <c r="E93" s="167">
        <f t="shared" si="0"/>
        <v>0</v>
      </c>
      <c r="F93" s="167">
        <v>0</v>
      </c>
      <c r="G93" s="171">
        <f t="shared" si="4"/>
        <v>0</v>
      </c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 ht="13.2">
      <c r="A94" s="220"/>
      <c r="B94" s="170"/>
      <c r="C94" s="170"/>
      <c r="D94" s="170"/>
      <c r="E94" s="167">
        <f t="shared" si="0"/>
        <v>0</v>
      </c>
      <c r="F94" s="167">
        <v>0</v>
      </c>
      <c r="G94" s="171">
        <f t="shared" si="4"/>
        <v>0</v>
      </c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5" ht="13.2">
      <c r="A95" s="220"/>
      <c r="B95" s="170"/>
      <c r="C95" s="170"/>
      <c r="D95" s="170"/>
      <c r="E95" s="167">
        <f t="shared" si="0"/>
        <v>0</v>
      </c>
      <c r="F95" s="167">
        <v>0</v>
      </c>
      <c r="G95" s="171">
        <f t="shared" si="4"/>
        <v>0</v>
      </c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 ht="13.2">
      <c r="A96" s="220"/>
      <c r="B96" s="170"/>
      <c r="C96" s="170"/>
      <c r="D96" s="170"/>
      <c r="E96" s="167">
        <f t="shared" si="0"/>
        <v>0</v>
      </c>
      <c r="F96" s="167">
        <v>0</v>
      </c>
      <c r="G96" s="171">
        <f t="shared" si="4"/>
        <v>0</v>
      </c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 ht="13.2">
      <c r="A97" s="220"/>
      <c r="B97" s="170"/>
      <c r="C97" s="170"/>
      <c r="D97" s="170"/>
      <c r="E97" s="167">
        <f t="shared" si="0"/>
        <v>0</v>
      </c>
      <c r="F97" s="167">
        <v>0</v>
      </c>
      <c r="G97" s="171">
        <f t="shared" si="4"/>
        <v>0</v>
      </c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 ht="13.2">
      <c r="A98" s="220"/>
      <c r="B98" s="170"/>
      <c r="C98" s="170"/>
      <c r="D98" s="170"/>
      <c r="E98" s="167">
        <f t="shared" si="0"/>
        <v>0</v>
      </c>
      <c r="F98" s="167">
        <v>0</v>
      </c>
      <c r="G98" s="171">
        <f t="shared" si="4"/>
        <v>0</v>
      </c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 ht="13.2">
      <c r="A99" s="220"/>
      <c r="B99" s="170"/>
      <c r="C99" s="170"/>
      <c r="D99" s="170"/>
      <c r="E99" s="167">
        <f t="shared" si="0"/>
        <v>0</v>
      </c>
      <c r="F99" s="167">
        <v>0</v>
      </c>
      <c r="G99" s="171">
        <f t="shared" si="4"/>
        <v>0</v>
      </c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 ht="13.2">
      <c r="A100" s="220"/>
      <c r="B100" s="170"/>
      <c r="C100" s="170"/>
      <c r="D100" s="170"/>
      <c r="E100" s="167">
        <f t="shared" si="0"/>
        <v>0</v>
      </c>
      <c r="F100" s="167">
        <v>0</v>
      </c>
      <c r="G100" s="171">
        <f t="shared" si="4"/>
        <v>0</v>
      </c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5" ht="13.2">
      <c r="A101" s="220"/>
      <c r="B101" s="170"/>
      <c r="C101" s="170"/>
      <c r="D101" s="170"/>
      <c r="E101" s="167">
        <f t="shared" si="0"/>
        <v>0</v>
      </c>
      <c r="F101" s="167">
        <v>0</v>
      </c>
      <c r="G101" s="171">
        <f t="shared" si="4"/>
        <v>0</v>
      </c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 ht="13.2">
      <c r="A102" s="220"/>
      <c r="B102" s="170"/>
      <c r="C102" s="170"/>
      <c r="D102" s="170"/>
      <c r="E102" s="167">
        <f t="shared" si="0"/>
        <v>0</v>
      </c>
      <c r="F102" s="167">
        <v>0</v>
      </c>
      <c r="G102" s="171">
        <f t="shared" si="4"/>
        <v>0</v>
      </c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 ht="13.2">
      <c r="A103" s="220"/>
      <c r="B103" s="170"/>
      <c r="C103" s="170"/>
      <c r="D103" s="170"/>
      <c r="E103" s="167">
        <f t="shared" si="0"/>
        <v>0</v>
      </c>
      <c r="F103" s="167">
        <v>0</v>
      </c>
      <c r="G103" s="171">
        <f t="shared" si="4"/>
        <v>0</v>
      </c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 ht="13.2">
      <c r="A104" s="220"/>
      <c r="B104" s="170"/>
      <c r="C104" s="170"/>
      <c r="D104" s="170"/>
      <c r="E104" s="167">
        <f t="shared" si="0"/>
        <v>0</v>
      </c>
      <c r="F104" s="167">
        <v>0</v>
      </c>
      <c r="G104" s="171">
        <f t="shared" si="4"/>
        <v>0</v>
      </c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 ht="13.2">
      <c r="A105" s="220"/>
      <c r="B105" s="170"/>
      <c r="C105" s="170"/>
      <c r="D105" s="170"/>
      <c r="E105" s="167">
        <f t="shared" si="0"/>
        <v>0</v>
      </c>
      <c r="F105" s="167">
        <v>0</v>
      </c>
      <c r="G105" s="171">
        <f t="shared" si="4"/>
        <v>0</v>
      </c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 ht="13.2">
      <c r="A106" s="220"/>
      <c r="B106" s="170"/>
      <c r="C106" s="170"/>
      <c r="D106" s="170"/>
      <c r="E106" s="167">
        <f t="shared" si="0"/>
        <v>0</v>
      </c>
      <c r="F106" s="167">
        <v>0</v>
      </c>
      <c r="G106" s="171">
        <f t="shared" si="4"/>
        <v>0</v>
      </c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 ht="13.2">
      <c r="A107" s="220"/>
      <c r="B107" s="170"/>
      <c r="C107" s="170"/>
      <c r="D107" s="170"/>
      <c r="E107" s="167">
        <f t="shared" si="0"/>
        <v>0</v>
      </c>
      <c r="F107" s="167">
        <v>0</v>
      </c>
      <c r="G107" s="171">
        <f t="shared" si="4"/>
        <v>0</v>
      </c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spans="1:25" ht="13.2">
      <c r="A108" s="221"/>
      <c r="B108" s="172"/>
      <c r="C108" s="172"/>
      <c r="D108" s="172"/>
      <c r="E108" s="173">
        <f t="shared" si="0"/>
        <v>0</v>
      </c>
      <c r="F108" s="173">
        <v>0</v>
      </c>
      <c r="G108" s="174">
        <f t="shared" si="4"/>
        <v>0</v>
      </c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 ht="13.2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spans="1:25" ht="13.2">
      <c r="A110" s="26"/>
      <c r="B110" s="26"/>
      <c r="C110" s="26"/>
      <c r="D110" s="26"/>
      <c r="E110" s="175">
        <f>SUM(E4:E108)</f>
        <v>2619</v>
      </c>
      <c r="F110" s="26"/>
      <c r="G110" s="42">
        <f>SUM(G4:G108)</f>
        <v>0</v>
      </c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1:25" ht="13.2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 ht="13.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 ht="13.2">
      <c r="A113" s="26"/>
      <c r="B113" s="176" t="s">
        <v>297</v>
      </c>
      <c r="C113" s="177">
        <f>E110</f>
        <v>2619</v>
      </c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 ht="13.2">
      <c r="A114" s="26"/>
      <c r="B114" s="26" t="s">
        <v>298</v>
      </c>
      <c r="C114" s="42">
        <f>G110</f>
        <v>0</v>
      </c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 ht="13.2">
      <c r="A115" s="26"/>
      <c r="B115" s="26" t="s">
        <v>299</v>
      </c>
      <c r="C115" s="42">
        <v>0</v>
      </c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 ht="13.2">
      <c r="A116" s="26"/>
      <c r="B116" s="26" t="s">
        <v>300</v>
      </c>
      <c r="C116" s="42">
        <v>0</v>
      </c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5" ht="13.2">
      <c r="A117" s="26"/>
      <c r="B117" s="26" t="s">
        <v>301</v>
      </c>
      <c r="C117" s="42">
        <v>0</v>
      </c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 ht="13.2">
      <c r="A118" s="26"/>
      <c r="B118" s="176" t="s">
        <v>302</v>
      </c>
      <c r="C118" s="178">
        <f>C113-C114+C115+C116+C117</f>
        <v>2619</v>
      </c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spans="1:25" ht="13.2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 ht="13.2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 ht="13.2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 ht="13.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 ht="13.2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spans="1:25" ht="13.2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spans="1:25" ht="13.2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spans="1:25" ht="13.2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spans="1:25" ht="13.2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25" ht="13.2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spans="1:25" ht="13.2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spans="1:25" ht="13.2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spans="1:25" ht="13.2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spans="1:25" ht="13.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spans="1:25" ht="13.2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spans="1:25" ht="13.2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spans="1:25" ht="13.2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 ht="13.2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 ht="13.2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 ht="13.2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spans="1:25" ht="13.2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spans="1:25" ht="13.2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spans="1:25" ht="13.2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spans="1:25" ht="13.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spans="1:25" ht="13.2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spans="1:25" ht="13.2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spans="1:25" ht="13.2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spans="1:25" ht="13.2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spans="1:25" ht="13.2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 ht="13.2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spans="1:25" ht="13.2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spans="1:25" ht="13.2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spans="1:25" ht="13.2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spans="1:25" ht="13.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spans="1:25" ht="13.2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spans="1:25" ht="13.2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spans="1:25" ht="13.2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spans="1:25" ht="13.2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spans="1:25" ht="13.2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spans="1:25" ht="13.2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spans="1:25" ht="13.2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spans="1:25" ht="13.2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spans="1:25" ht="13.2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spans="1:25" ht="13.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spans="1:25" ht="13.2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spans="1:25" ht="13.2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spans="1:25" ht="13.2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spans="1:25" ht="13.2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spans="1:25" ht="13.2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spans="1:25" ht="13.2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 ht="13.2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spans="1:25" ht="13.2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spans="1:25" ht="13.2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spans="1:25" ht="13.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spans="1:25" ht="13.2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spans="1:25" ht="13.2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spans="1:25" ht="13.2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1:25" ht="13.2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spans="1:25" ht="13.2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spans="1:25" ht="13.2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spans="1:25" ht="13.2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3.2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spans="1:25" ht="13.2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 ht="13.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spans="1:25" ht="13.2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spans="1:25" ht="13.2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spans="1:25" ht="13.2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1:25" ht="13.2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1:25" ht="13.2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1:25" ht="13.2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spans="1:25" ht="13.2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spans="1:25" ht="13.2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spans="1:25" ht="13.2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 ht="13.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spans="1:25" ht="13.2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spans="1:25" ht="13.2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spans="1:25" ht="13.2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spans="1:25" ht="13.2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spans="1:25" ht="13.2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spans="1:25" ht="13.2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spans="1:25" ht="13.2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1:25" ht="13.2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spans="1:25" ht="13.2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spans="1:25" ht="13.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spans="1:25" ht="13.2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1:25" ht="13.2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spans="1:25" ht="13.2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spans="1:25" ht="13.2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spans="1:25" ht="13.2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spans="1:25" ht="13.2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spans="1:25" ht="13.2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26"/>
      <c r="Y209" s="26"/>
    </row>
    <row r="210" spans="1:25" ht="13.2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26"/>
      <c r="Y210" s="26"/>
    </row>
    <row r="211" spans="1:25" ht="13.2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26"/>
      <c r="Y211" s="26"/>
    </row>
    <row r="212" spans="1:25" ht="13.2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26"/>
      <c r="Y212" s="26"/>
    </row>
    <row r="213" spans="1:25" ht="13.2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26"/>
      <c r="Y213" s="26"/>
    </row>
    <row r="214" spans="1:25" ht="13.2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26"/>
      <c r="Y214" s="26"/>
    </row>
    <row r="215" spans="1:25" ht="13.2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26"/>
      <c r="Y215" s="26"/>
    </row>
    <row r="216" spans="1:25" ht="13.2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26"/>
      <c r="Y216" s="26"/>
    </row>
    <row r="217" spans="1:25" ht="13.2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26"/>
      <c r="Y217" s="26"/>
    </row>
    <row r="218" spans="1:25" ht="13.2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26"/>
      <c r="Y218" s="26"/>
    </row>
    <row r="219" spans="1:25" ht="13.2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26"/>
      <c r="Y219" s="26"/>
    </row>
    <row r="220" spans="1:25" ht="13.2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26"/>
      <c r="Y220" s="26"/>
    </row>
    <row r="221" spans="1:25" ht="13.2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26"/>
      <c r="Y221" s="26"/>
    </row>
    <row r="222" spans="1:25" ht="13.2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26"/>
      <c r="Y222" s="26"/>
    </row>
    <row r="223" spans="1:25" ht="13.2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26"/>
      <c r="Y223" s="26"/>
    </row>
    <row r="224" spans="1:25" ht="13.2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26"/>
      <c r="Y224" s="26"/>
    </row>
    <row r="225" spans="1:25" ht="13.2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26"/>
      <c r="Y225" s="26"/>
    </row>
    <row r="226" spans="1:25" ht="13.2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26"/>
      <c r="Y226" s="26"/>
    </row>
    <row r="227" spans="1:25" ht="13.2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26"/>
      <c r="Y227" s="26"/>
    </row>
    <row r="228" spans="1:25" ht="13.2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26"/>
      <c r="Y228" s="26"/>
    </row>
    <row r="229" spans="1:25" ht="13.2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26"/>
      <c r="Y229" s="26"/>
    </row>
    <row r="230" spans="1:25" ht="13.2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26"/>
      <c r="Y230" s="26"/>
    </row>
    <row r="231" spans="1:25" ht="13.2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26"/>
      <c r="Y231" s="26"/>
    </row>
    <row r="232" spans="1:25" ht="13.2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26"/>
      <c r="Y232" s="26"/>
    </row>
    <row r="233" spans="1:25" ht="13.2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26"/>
      <c r="Y233" s="26"/>
    </row>
    <row r="234" spans="1:25" ht="13.2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26"/>
      <c r="Y234" s="26"/>
    </row>
    <row r="235" spans="1:25" ht="13.2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26"/>
      <c r="Y235" s="26"/>
    </row>
    <row r="236" spans="1:25" ht="13.2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26"/>
      <c r="Y236" s="26"/>
    </row>
    <row r="237" spans="1:25" ht="13.2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26"/>
      <c r="Y237" s="26"/>
    </row>
    <row r="238" spans="1:25" ht="13.2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26"/>
      <c r="Y238" s="26"/>
    </row>
    <row r="239" spans="1:25" ht="13.2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26"/>
      <c r="Y239" s="26"/>
    </row>
    <row r="240" spans="1:25" ht="13.2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26"/>
      <c r="Y240" s="26"/>
    </row>
    <row r="241" spans="1:25" ht="13.2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26"/>
      <c r="Y241" s="26"/>
    </row>
    <row r="242" spans="1:25" ht="13.2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26"/>
      <c r="Y242" s="26"/>
    </row>
    <row r="243" spans="1:25" ht="13.2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26"/>
      <c r="Y243" s="26"/>
    </row>
    <row r="244" spans="1:25" ht="13.2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26"/>
      <c r="Y244" s="26"/>
    </row>
    <row r="245" spans="1:25" ht="13.2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26"/>
      <c r="Y245" s="26"/>
    </row>
    <row r="246" spans="1:25" ht="13.2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26"/>
      <c r="Y246" s="26"/>
    </row>
    <row r="247" spans="1:25" ht="13.2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26"/>
      <c r="Y247" s="26"/>
    </row>
    <row r="248" spans="1:25" ht="13.2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26"/>
      <c r="Y248" s="26"/>
    </row>
    <row r="249" spans="1:25" ht="13.2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26"/>
      <c r="Y249" s="26"/>
    </row>
    <row r="250" spans="1:25" ht="13.2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26"/>
      <c r="Y250" s="26"/>
    </row>
    <row r="251" spans="1:25" ht="13.2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26"/>
      <c r="Y251" s="26"/>
    </row>
    <row r="252" spans="1:25" ht="13.2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26"/>
      <c r="Y252" s="26"/>
    </row>
    <row r="253" spans="1:25" ht="13.2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26"/>
      <c r="Y253" s="26"/>
    </row>
    <row r="254" spans="1:25" ht="13.2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26"/>
      <c r="Y254" s="26"/>
    </row>
    <row r="255" spans="1:25" ht="13.2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26"/>
      <c r="Y255" s="26"/>
    </row>
    <row r="256" spans="1:25" ht="13.2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26"/>
      <c r="Y256" s="26"/>
    </row>
    <row r="257" spans="1:25" ht="13.2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26"/>
      <c r="Y257" s="26"/>
    </row>
    <row r="258" spans="1:25" ht="13.2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26"/>
      <c r="Y258" s="26"/>
    </row>
    <row r="259" spans="1:25" ht="13.2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26"/>
      <c r="Y259" s="26"/>
    </row>
    <row r="260" spans="1:25" ht="13.2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26"/>
      <c r="Y260" s="26"/>
    </row>
    <row r="261" spans="1:25" ht="13.2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26"/>
      <c r="Y261" s="26"/>
    </row>
    <row r="262" spans="1:25" ht="13.2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26"/>
      <c r="Y262" s="26"/>
    </row>
    <row r="263" spans="1:25" ht="13.2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26"/>
      <c r="Y263" s="26"/>
    </row>
    <row r="264" spans="1:25" ht="13.2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26"/>
      <c r="Y264" s="26"/>
    </row>
    <row r="265" spans="1:25" ht="13.2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26"/>
      <c r="Y265" s="26"/>
    </row>
    <row r="266" spans="1:25" ht="13.2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26"/>
      <c r="Y266" s="26"/>
    </row>
    <row r="267" spans="1:25" ht="13.2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26"/>
      <c r="Y267" s="26"/>
    </row>
    <row r="268" spans="1:25" ht="13.2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26"/>
      <c r="Y268" s="26"/>
    </row>
    <row r="269" spans="1:25" ht="13.2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26"/>
      <c r="Y269" s="26"/>
    </row>
    <row r="270" spans="1:25" ht="13.2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26"/>
      <c r="Y270" s="26"/>
    </row>
    <row r="271" spans="1:25" ht="13.2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26"/>
      <c r="Y271" s="26"/>
    </row>
    <row r="272" spans="1:25" ht="13.2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26"/>
      <c r="Y272" s="26"/>
    </row>
    <row r="273" spans="1:25" ht="13.2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26"/>
      <c r="Y273" s="26"/>
    </row>
    <row r="274" spans="1:25" ht="13.2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26"/>
      <c r="Y274" s="26"/>
    </row>
    <row r="275" spans="1:25" ht="13.2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26"/>
      <c r="Y275" s="26"/>
    </row>
    <row r="276" spans="1:25" ht="13.2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26"/>
      <c r="Y276" s="26"/>
    </row>
    <row r="277" spans="1:25" ht="13.2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26"/>
      <c r="Y277" s="26"/>
    </row>
    <row r="278" spans="1:25" ht="13.2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26"/>
      <c r="Y278" s="26"/>
    </row>
    <row r="279" spans="1:25" ht="13.2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26"/>
      <c r="Y279" s="26"/>
    </row>
    <row r="280" spans="1:25" ht="13.2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26"/>
      <c r="Y280" s="26"/>
    </row>
    <row r="281" spans="1:25" ht="13.2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26"/>
      <c r="Y281" s="26"/>
    </row>
    <row r="282" spans="1:25" ht="13.2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26"/>
      <c r="Y282" s="26"/>
    </row>
    <row r="283" spans="1:25" ht="13.2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26"/>
      <c r="Y283" s="26"/>
    </row>
    <row r="284" spans="1:25" ht="13.2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26"/>
      <c r="Y284" s="26"/>
    </row>
    <row r="285" spans="1:25" ht="13.2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26"/>
      <c r="Y285" s="26"/>
    </row>
    <row r="286" spans="1:25" ht="13.2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26"/>
      <c r="Y286" s="26"/>
    </row>
    <row r="287" spans="1:25" ht="13.2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26"/>
      <c r="Y287" s="26"/>
    </row>
    <row r="288" spans="1:25" ht="13.2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26"/>
      <c r="Y288" s="26"/>
    </row>
    <row r="289" spans="1:25" ht="13.2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26"/>
      <c r="Y289" s="26"/>
    </row>
    <row r="290" spans="1:25" ht="13.2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26"/>
      <c r="Y290" s="26"/>
    </row>
    <row r="291" spans="1:25" ht="13.2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26"/>
      <c r="Y291" s="26"/>
    </row>
    <row r="292" spans="1:25" ht="13.2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26"/>
      <c r="Y292" s="26"/>
    </row>
    <row r="293" spans="1:25" ht="13.2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26"/>
      <c r="Y293" s="26"/>
    </row>
    <row r="294" spans="1:25" ht="13.2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26"/>
      <c r="Y294" s="26"/>
    </row>
    <row r="295" spans="1:25" ht="13.2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26"/>
      <c r="Y295" s="26"/>
    </row>
    <row r="296" spans="1:25" ht="13.2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26"/>
      <c r="Y296" s="26"/>
    </row>
    <row r="297" spans="1:25" ht="13.2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26"/>
      <c r="Y297" s="26"/>
    </row>
    <row r="298" spans="1:25" ht="13.2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26"/>
      <c r="Y298" s="26"/>
    </row>
    <row r="299" spans="1:25" ht="13.2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26"/>
      <c r="Y299" s="26"/>
    </row>
    <row r="300" spans="1:25" ht="13.2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26"/>
      <c r="Y300" s="26"/>
    </row>
    <row r="301" spans="1:25" ht="13.2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26"/>
      <c r="Y301" s="26"/>
    </row>
    <row r="302" spans="1:25" ht="13.2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26"/>
      <c r="Y302" s="26"/>
    </row>
    <row r="303" spans="1:25" ht="13.2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26"/>
      <c r="Y303" s="26"/>
    </row>
    <row r="304" spans="1:25" ht="13.2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26"/>
      <c r="Y304" s="26"/>
    </row>
    <row r="305" spans="1:25" ht="13.2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26"/>
      <c r="Y305" s="26"/>
    </row>
    <row r="306" spans="1:25" ht="13.2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26"/>
      <c r="Y306" s="26"/>
    </row>
    <row r="307" spans="1:25" ht="13.2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26"/>
      <c r="Y307" s="26"/>
    </row>
    <row r="308" spans="1:25" ht="13.2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26"/>
      <c r="Y308" s="26"/>
    </row>
    <row r="309" spans="1:25" ht="13.2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26"/>
      <c r="Y309" s="26"/>
    </row>
    <row r="310" spans="1:25" ht="13.2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26"/>
      <c r="Y310" s="26"/>
    </row>
    <row r="311" spans="1:25" ht="13.2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26"/>
      <c r="Y311" s="26"/>
    </row>
    <row r="312" spans="1:25" ht="13.2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26"/>
      <c r="Y312" s="26"/>
    </row>
    <row r="313" spans="1:25" ht="13.2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26"/>
      <c r="Y313" s="26"/>
    </row>
    <row r="314" spans="1:25" ht="13.2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26"/>
      <c r="Y314" s="26"/>
    </row>
    <row r="315" spans="1:25" ht="13.2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26"/>
      <c r="Y315" s="26"/>
    </row>
    <row r="316" spans="1:25" ht="13.2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26"/>
      <c r="Y316" s="26"/>
    </row>
    <row r="317" spans="1:25" ht="13.2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26"/>
      <c r="Y317" s="26"/>
    </row>
    <row r="318" spans="1:25" ht="13.2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26"/>
      <c r="Y318" s="26"/>
    </row>
    <row r="319" spans="1:25" ht="13.2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:25" ht="13.2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:25" ht="13.2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:25" ht="13.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:25" ht="13.2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:25" ht="13.2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:25" ht="13.2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:25" ht="13.2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:25" ht="13.2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:25" ht="13.2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:25" ht="13.2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:25" ht="13.2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:25" ht="13.2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:25" ht="13.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 ht="13.2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:25" ht="13.2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:25" ht="13.2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:25" ht="13.2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 ht="13.2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:25" ht="13.2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:25" ht="13.2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:25" ht="13.2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:25" ht="13.2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:25" ht="13.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:25" ht="13.2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spans="1:25" ht="13.2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 ht="13.2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spans="1:25" ht="13.2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spans="1:25" ht="13.2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spans="1:25" ht="13.2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 ht="13.2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spans="1:25" ht="13.2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spans="1:25" ht="13.2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spans="1:25" ht="13.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 ht="13.2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spans="1:25" ht="13.2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spans="1:25" ht="13.2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spans="1:25" ht="13.2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spans="1:25" ht="13.2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spans="1:25" ht="13.2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spans="1:25" ht="13.2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spans="1:25" ht="13.2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spans="1:25" ht="13.2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spans="1:25" ht="13.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 ht="13.2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spans="1:25" ht="13.2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spans="1:25" ht="13.2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spans="1:25" ht="13.2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spans="1:25" ht="13.2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 ht="13.2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spans="1:25" ht="13.2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 ht="13.2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spans="1:25" ht="13.2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spans="1:25" ht="13.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spans="1:25" ht="13.2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spans="1:25" ht="13.2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 ht="13.2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spans="1:25" ht="13.2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spans="1:25" ht="13.2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 ht="13.2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spans="1:25" ht="13.2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spans="1:25" ht="13.2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spans="1:25" ht="13.2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spans="1:25" ht="13.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spans="1:25" ht="13.2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spans="1:25" ht="13.2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spans="1:25" ht="13.2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spans="1:25" ht="13.2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 ht="13.2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spans="1:25" ht="13.2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spans="1:25" ht="13.2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spans="1:25" ht="13.2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spans="1:25" ht="13.2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spans="1:25" ht="13.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spans="1:25" ht="13.2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spans="1:25" ht="13.2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spans="1:25" ht="13.2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spans="1:25" ht="13.2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spans="1:25" ht="13.2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 ht="13.2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spans="1:25" ht="13.2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spans="1:25" ht="13.2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spans="1:25" ht="13.2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spans="1:25" ht="13.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spans="1:25" ht="13.2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 ht="13.2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spans="1:25" ht="13.2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spans="1:25" ht="13.2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spans="1:25" ht="13.2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spans="1:25" ht="13.2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spans="1:25" ht="13.2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spans="1:25" ht="13.2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spans="1:25" ht="13.2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 ht="13.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 ht="13.2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spans="1:25" ht="13.2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spans="1:25" ht="13.2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spans="1:25" ht="13.2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spans="1:25" ht="13.2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spans="1:25" ht="13.2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 ht="13.2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spans="1:25" ht="13.2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spans="1:25" ht="13.2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spans="1:25" ht="13.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spans="1:25" ht="13.2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spans="1:25" ht="13.2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spans="1:25" ht="13.2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 ht="13.2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spans="1:25" ht="13.2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spans="1:25" ht="13.2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spans="1:25" ht="13.2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spans="1:25" ht="13.2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spans="1:25" ht="13.2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spans="1:25" ht="13.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spans="1:25" ht="13.2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spans="1:25" ht="13.2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spans="1:25" ht="13.2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spans="1:25" ht="13.2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 ht="13.2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spans="1:25" ht="13.2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spans="1:25" ht="13.2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 ht="13.2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spans="1:25" ht="13.2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 ht="13.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spans="1:25" ht="13.2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spans="1:25" ht="13.2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spans="1:25" ht="13.2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spans="1:25" ht="13.2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spans="1:25" ht="13.2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spans="1:25" ht="13.2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spans="1:25" ht="13.2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spans="1:25" ht="13.2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spans="1:25" ht="13.2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 ht="13.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spans="1:25" ht="13.2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spans="1:25" ht="13.2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spans="1:25" ht="13.2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spans="1:25" ht="13.2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spans="1:25" ht="13.2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spans="1:25" ht="13.2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spans="1:25" ht="13.2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spans="1:25" ht="13.2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spans="1:25" ht="13.2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 ht="13.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spans="1:25" ht="13.2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 ht="13.2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spans="1:25" ht="13.2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spans="1:25" ht="13.2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spans="1:25" ht="13.2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spans="1:25" ht="13.2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spans="1:25" ht="13.2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spans="1:25" ht="13.2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spans="1:25" ht="13.2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 ht="13.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spans="1:25" ht="13.2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 ht="13.2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 ht="13.2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spans="1:25" ht="13.2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spans="1:25" ht="13.2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spans="1:25" ht="13.2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spans="1:25" ht="13.2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spans="1:25" ht="13.2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spans="1:25" ht="13.2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spans="1:25" ht="13.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spans="1:25" ht="13.2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spans="1:25" ht="13.2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spans="1:25" ht="13.2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spans="1:25" ht="13.2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spans="1:25" ht="13.2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spans="1:25" ht="13.2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spans="1:25" ht="13.2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spans="1:25" ht="13.2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spans="1:25" ht="13.2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spans="1:25" ht="13.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spans="1:25" ht="13.2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 ht="13.2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spans="1:25" ht="13.2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spans="1:25" ht="13.2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spans="1:25" ht="13.2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spans="1:25" ht="13.2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 ht="13.2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spans="1:25" ht="13.2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spans="1:25" ht="13.2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spans="1:25" ht="13.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spans="1:25" ht="13.2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 ht="13.2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spans="1:25" ht="13.2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spans="1:25" ht="13.2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spans="1:25" ht="13.2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spans="1:25" ht="13.2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spans="1:25" ht="13.2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spans="1:25" ht="13.2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spans="1:25" ht="13.2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spans="1:25" ht="13.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spans="1:25" ht="13.2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spans="1:25" ht="13.2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spans="1:25" ht="13.2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spans="1:25" ht="13.2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spans="1:25" ht="13.2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spans="1:25" ht="13.2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spans="1:25" ht="13.2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spans="1:25" ht="13.2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spans="1:25" ht="13.2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spans="1:25" ht="13.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spans="1:25" ht="13.2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spans="1:25" ht="13.2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spans="1:25" ht="13.2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spans="1:25" ht="13.2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spans="1:25" ht="13.2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spans="1:25" ht="13.2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spans="1:25" ht="13.2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spans="1:25" ht="13.2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spans="1:25" ht="13.2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 ht="13.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spans="1:25" ht="13.2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spans="1:25" ht="13.2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spans="1:25" ht="13.2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spans="1:25" ht="13.2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spans="1:25" ht="13.2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spans="1:25" ht="13.2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spans="1:25" ht="13.2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spans="1:25" ht="13.2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spans="1:25" ht="13.2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spans="1:25" ht="13.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spans="1:25" ht="13.2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spans="1:25" ht="13.2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spans="1:25" ht="13.2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spans="1:25" ht="13.2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spans="1:25" ht="13.2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spans="1:25" ht="13.2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spans="1:25" ht="13.2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spans="1:25" ht="13.2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spans="1:25" ht="13.2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spans="1:25" ht="13.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spans="1:25" ht="13.2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spans="1:25" ht="13.2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spans="1:25" ht="13.2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spans="1:25" ht="13.2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spans="1:25" ht="13.2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spans="1:25" ht="13.2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spans="1:25" ht="13.2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spans="1:25" ht="13.2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spans="1:25" ht="13.2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spans="1:25" ht="13.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 ht="13.2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spans="1:25" ht="13.2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spans="1:25" ht="13.2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spans="1:25" ht="13.2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spans="1:25" ht="13.2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 ht="13.2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spans="1:25" ht="13.2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spans="1:25" ht="13.2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spans="1:25" ht="13.2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spans="1:25" ht="13.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 ht="13.2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spans="1:25" ht="13.2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spans="1:25" ht="13.2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spans="1:25" ht="13.2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spans="1:25" ht="13.2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 ht="13.2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spans="1:25" ht="13.2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spans="1:25" ht="13.2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spans="1:25" ht="13.2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spans="1:25" ht="13.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spans="1:25" ht="13.2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spans="1:25" ht="13.2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spans="1:25" ht="13.2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spans="1:25" ht="13.2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spans="1:25" ht="13.2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spans="1:25" ht="13.2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spans="1:25" ht="13.2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spans="1:25" ht="13.2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spans="1:25" ht="13.2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spans="1:25" ht="13.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spans="1:25" ht="13.2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spans="1:25" ht="13.2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spans="1:25" ht="13.2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spans="1:25" ht="13.2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spans="1:25" ht="13.2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spans="1:25" ht="13.2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spans="1:25" ht="13.2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spans="1:25" ht="13.2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spans="1:25" ht="13.2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spans="1:25" ht="13.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 ht="13.2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spans="1:25" ht="13.2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spans="1:25" ht="13.2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spans="1:25" ht="13.2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spans="1:25" ht="13.2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 ht="13.2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spans="1:25" ht="13.2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spans="1:25" ht="13.2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spans="1:25" ht="13.2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spans="1:25" ht="13.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spans="1:25" ht="13.2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spans="1:25" ht="13.2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spans="1:25" ht="13.2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spans="1:25" ht="13.2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spans="1:25" ht="13.2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spans="1:25" ht="13.2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spans="1:25" ht="13.2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spans="1:25" ht="13.2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spans="1:25" ht="13.2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spans="1:25" ht="13.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spans="1:25" ht="13.2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spans="1:25" ht="13.2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spans="1:25" ht="13.2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spans="1:25" ht="13.2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 ht="13.2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spans="1:25" ht="13.2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spans="1:25" ht="13.2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spans="1:25" ht="13.2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spans="1:25" ht="13.2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spans="1:25" ht="13.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spans="1:25" ht="13.2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spans="1:25" ht="13.2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spans="1:25" ht="13.2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spans="1:25" ht="13.2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spans="1:25" ht="13.2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 ht="13.2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spans="1:25" ht="13.2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spans="1:25" ht="13.2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spans="1:25" ht="13.2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spans="1:25" ht="13.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 ht="13.2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spans="1:25" ht="13.2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spans="1:25" ht="13.2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spans="1:25" ht="13.2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spans="1:25" ht="13.2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spans="1:25" ht="13.2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spans="1:25" ht="13.2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spans="1:25" ht="13.2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spans="1:25" ht="13.2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spans="1:25" ht="13.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spans="1:25" ht="13.2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spans="1:25" ht="13.2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spans="1:25" ht="13.2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spans="1:25" ht="13.2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spans="1:25" ht="13.2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spans="1:25" ht="13.2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spans="1:25" ht="13.2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spans="1:25" ht="13.2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spans="1:25" ht="13.2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spans="1:25" ht="13.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spans="1:25" ht="13.2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spans="1:25" ht="13.2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 ht="13.2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spans="1:25" ht="13.2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spans="1:25" ht="13.2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spans="1:25" ht="13.2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spans="1:25" ht="13.2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 ht="13.2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spans="1:25" ht="13.2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spans="1:25" ht="13.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spans="1:25" ht="13.2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spans="1:25" ht="13.2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spans="1:25" ht="13.2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spans="1:25" ht="13.2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spans="1:25" ht="13.2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spans="1:25" ht="13.2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spans="1:25" ht="13.2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spans="1:25" ht="13.2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 ht="13.2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spans="1:25" ht="13.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spans="1:25" ht="13.2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spans="1:25" ht="13.2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spans="1:25" ht="13.2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spans="1:25" ht="13.2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spans="1:25" ht="13.2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spans="1:25" ht="13.2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spans="1:25" ht="13.2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spans="1:25" ht="13.2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spans="1:25" ht="13.2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spans="1:25" ht="13.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spans="1:25" ht="13.2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spans="1:25" ht="13.2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spans="1:25" ht="13.2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spans="1:25" ht="13.2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spans="1:25" ht="13.2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spans="1:25" ht="13.2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spans="1:25" ht="13.2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 ht="13.2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spans="1:25" ht="13.2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spans="1:25" ht="13.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spans="1:25" ht="13.2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spans="1:25" ht="13.2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 ht="13.2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spans="1:25" ht="13.2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spans="1:25" ht="13.2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spans="1:25" ht="13.2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spans="1:25" ht="13.2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spans="1:25" ht="13.2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spans="1:25" ht="13.2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spans="1:25" ht="13.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spans="1:25" ht="13.2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spans="1:25" ht="13.2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spans="1:25" ht="13.2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spans="1:25" ht="13.2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spans="1:25" ht="13.2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spans="1:25" ht="13.2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spans="1:25" ht="13.2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spans="1:25" ht="13.2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spans="1:25" ht="13.2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spans="1:25" ht="13.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spans="1:25" ht="13.2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spans="1:25" ht="13.2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spans="1:25" ht="13.2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spans="1:25" ht="13.2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spans="1:25" ht="13.2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spans="1:25" ht="13.2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spans="1:25" ht="13.2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spans="1:25" ht="13.2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spans="1:25" ht="13.2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spans="1:25" ht="13.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spans="1:25" ht="13.2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spans="1:25" ht="13.2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spans="1:25" ht="13.2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spans="1:25" ht="13.2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spans="1:25" ht="13.2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spans="1:25" ht="13.2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spans="1:25" ht="13.2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spans="1:25" ht="13.2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spans="1:25" ht="13.2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spans="1:25" ht="13.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spans="1:25" ht="13.2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spans="1:25" ht="13.2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spans="1:25" ht="13.2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spans="1:25" ht="13.2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spans="1:25" ht="13.2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spans="1:25" ht="13.2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spans="1:25" ht="13.2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spans="1:25" ht="13.2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spans="1:25" ht="13.2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spans="1:25" ht="13.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spans="1:25" ht="13.2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spans="1:25" ht="13.2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spans="1:25" ht="13.2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 ht="13.2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spans="1:25" ht="13.2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spans="1:25" ht="13.2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spans="1:25" ht="13.2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spans="1:25" ht="13.2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spans="1:25" ht="13.2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spans="1:25" ht="13.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spans="1:25" ht="13.2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spans="1:25" ht="13.2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spans="1:25" ht="13.2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spans="1:25" ht="13.2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spans="1:25" ht="13.2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spans="1:25" ht="13.2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spans="1:25" ht="13.2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spans="1:25" ht="13.2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spans="1:25" ht="13.2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spans="1:25" ht="13.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spans="1:25" ht="13.2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spans="1:25" ht="13.2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spans="1:25" ht="13.2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spans="1:25" ht="13.2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spans="1:25" ht="13.2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spans="1:25" ht="13.2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spans="1:25" ht="13.2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spans="1:25" ht="13.2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 ht="13.2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spans="1:25" ht="13.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spans="1:25" ht="13.2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spans="1:25" ht="13.2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spans="1:25" ht="13.2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spans="1:25" ht="13.2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spans="1:25" ht="13.2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spans="1:25" ht="13.2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spans="1:25" ht="13.2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spans="1:25" ht="13.2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spans="1:25" ht="13.2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spans="1:25" ht="13.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spans="1:25" ht="13.2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spans="1:25" ht="13.2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spans="1:25" ht="13.2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spans="1:25" ht="13.2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spans="1:25" ht="13.2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spans="1:25" ht="13.2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spans="1:25" ht="13.2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spans="1:25" ht="13.2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 ht="13.2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spans="1:25" ht="13.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spans="1:25" ht="13.2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spans="1:25" ht="13.2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spans="1:25" ht="13.2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spans="1:25" ht="13.2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spans="1:25" ht="13.2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spans="1:25" ht="13.2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spans="1:25" ht="13.2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spans="1:25" ht="13.2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spans="1:25" ht="13.2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spans="1:25" ht="13.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spans="1:25" ht="13.2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spans="1:25" ht="13.2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spans="1:25" ht="13.2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spans="1:25" ht="13.2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spans="1:25" ht="13.2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spans="1:25" ht="13.2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spans="1:25" ht="13.2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 ht="13.2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spans="1:25" ht="13.2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spans="1:25" ht="13.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spans="1:25" ht="13.2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spans="1:25" ht="13.2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spans="1:25" ht="13.2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spans="1:25" ht="13.2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spans="1:25" ht="13.2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spans="1:25" ht="13.2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spans="1:25" ht="13.2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spans="1:25" ht="13.2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spans="1:25" ht="13.2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spans="1:25" ht="13.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spans="1:25" ht="13.2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 ht="13.2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spans="1:25" ht="13.2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spans="1:25" ht="13.2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spans="1:25" ht="13.2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spans="1:25" ht="13.2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spans="1:25" ht="13.2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spans="1:25" ht="13.2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spans="1:25" ht="13.2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spans="1:25" ht="13.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spans="1:25" ht="13.2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spans="1:25" ht="13.2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spans="1:25" ht="13.2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spans="1:25" ht="13.2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spans="1:25" ht="13.2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spans="1:25" ht="13.2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spans="1:25" ht="13.2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 ht="13.2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spans="1:25" ht="13.2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spans="1:25" ht="13.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spans="1:25" ht="13.2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spans="1:25" ht="13.2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 ht="13.2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spans="1:25" ht="13.2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spans="1:25" ht="13.2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spans="1:25" ht="13.2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spans="1:25" ht="13.2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 ht="13.2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spans="1:25" ht="13.2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spans="1:25" ht="13.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spans="1:25" ht="13.2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spans="1:25" ht="13.2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spans="1:25" ht="13.2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spans="1:25" ht="13.2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spans="1:25" ht="13.2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spans="1:25" ht="13.2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spans="1:25" ht="13.2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spans="1:25" ht="13.2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spans="1:25" ht="13.2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spans="1:25" ht="13.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spans="1:25" ht="13.2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spans="1:25" ht="13.2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spans="1:25" ht="13.2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spans="1:25" ht="13.2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spans="1:25" ht="13.2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spans="1:25" ht="13.2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spans="1:25" ht="13.2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spans="1:25" ht="13.2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spans="1:25" ht="13.2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spans="1:25" ht="13.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spans="1:25" ht="13.2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spans="1:25" ht="13.2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spans="1:25" ht="13.2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spans="1:25" ht="13.2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spans="1:25" ht="13.2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 ht="13.2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spans="1:25" ht="13.2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spans="1:25" ht="13.2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spans="1:25" ht="13.2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spans="1:25" ht="13.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spans="1:25" ht="13.2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spans="1:25" ht="13.2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spans="1:25" ht="13.2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spans="1:25" ht="13.2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spans="1:25" ht="13.2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spans="1:25" ht="13.2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spans="1:25" ht="13.2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spans="1:25" ht="13.2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spans="1:25" ht="13.2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 ht="13.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spans="1:25" ht="13.2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spans="1:25" ht="13.2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spans="1:25" ht="13.2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spans="1:25" ht="13.2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spans="1:25" ht="13.2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spans="1:25" ht="13.2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spans="1:25" ht="13.2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spans="1:25" ht="13.2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spans="1:25" ht="13.2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spans="1:25" ht="13.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spans="1:25" ht="13.2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spans="1:25" ht="13.2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spans="1:25" ht="13.2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spans="1:25" ht="13.2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spans="1:25" ht="13.2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spans="1:25" ht="13.2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spans="1:25" ht="13.2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spans="1:25" ht="13.2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spans="1:25" ht="13.2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spans="1:25" ht="13.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spans="1:25" ht="13.2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 ht="13.2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spans="1:25" ht="13.2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spans="1:25" ht="13.2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spans="1:25" ht="13.2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spans="1:25" ht="13.2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spans="1:25" ht="13.2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spans="1:25" ht="13.2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spans="1:25" ht="13.2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 ht="13.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spans="1:25" ht="13.2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spans="1:25" ht="13.2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spans="1:25" ht="13.2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spans="1:25" ht="13.2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 ht="13.2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spans="1:25" ht="13.2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spans="1:25" ht="13.2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spans="1:25" ht="13.2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spans="1:25" ht="13.2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spans="1:25" ht="13.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spans="1:25" ht="13.2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spans="1:25" ht="13.2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spans="1:25" ht="13.2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spans="1:25" ht="13.2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spans="1:25" ht="13.2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spans="1:25" ht="13.2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spans="1:25" ht="13.2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spans="1:25" ht="13.2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spans="1:25" ht="13.2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spans="1:25" ht="13.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spans="1:25" ht="13.2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spans="1:25" ht="13.2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spans="1:25" ht="13.2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 ht="13.2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spans="1:25" ht="13.2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spans="1:25" ht="13.2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spans="1:25" ht="13.2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spans="1:25" ht="13.2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spans="1:25" ht="13.2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spans="1:25" ht="13.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spans="1:25" ht="13.2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spans="1:25" ht="13.2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spans="1:25" ht="13.2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spans="1:25" ht="13.2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spans="1:25" ht="13.2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spans="1:25" ht="13.2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spans="1:25" ht="13.2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spans="1:25" ht="13.2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spans="1:25" ht="13.2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spans="1:25" ht="13.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spans="1:25" ht="13.2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spans="1:25" ht="13.2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spans="1:25" ht="13.2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spans="1:25" ht="13.2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spans="1:25" ht="13.2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spans="1:25" ht="13.2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spans="1:25" ht="13.2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spans="1:25" ht="13.2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spans="1:25" ht="13.2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spans="1:25" ht="13.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spans="1:25" ht="13.2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spans="1:25" ht="13.2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spans="1:25" ht="13.2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 spans="1:25" ht="13.2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 spans="1:25" ht="13.2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spans="1:25" ht="13.2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 spans="1:25" ht="13.2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 spans="1:25" ht="13.2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 spans="1:25" ht="13.2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 spans="1:25" ht="13.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 spans="1:25" ht="13.2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 spans="1:25" ht="13.2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 spans="1:25" ht="13.2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 spans="1:25" ht="13.2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 spans="1:25" ht="13.2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 spans="1:25" ht="13.2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 spans="1:25" ht="13.2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 spans="1:25" ht="13.2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  <row r="1001" spans="1:25" ht="13.2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</row>
    <row r="1002" spans="1:25" ht="13.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</row>
    <row r="1003" spans="1:25" ht="13.2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</row>
    <row r="1004" spans="1:25" ht="13.2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</row>
    <row r="1005" spans="1:25" ht="13.2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</row>
    <row r="1006" spans="1:25" ht="13.2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</row>
    <row r="1007" spans="1:25" ht="13.2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</row>
    <row r="1008" spans="1:25" ht="13.2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</row>
    <row r="1009" spans="1:25" ht="13.2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</row>
    <row r="1010" spans="1:25" ht="13.2">
      <c r="A1010" s="26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</row>
    <row r="1011" spans="1:25" ht="13.2">
      <c r="A1011" s="26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</row>
    <row r="1012" spans="1:25" ht="13.2">
      <c r="A1012" s="26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</row>
    <row r="1013" spans="1:25" ht="13.2">
      <c r="A1013" s="26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</row>
    <row r="1014" spans="1:25" ht="13.2">
      <c r="A1014" s="26"/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</row>
    <row r="1015" spans="1:25" ht="13.2">
      <c r="A1015" s="26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</row>
    <row r="1016" spans="1:25" ht="13.2">
      <c r="A1016" s="26"/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</row>
    <row r="1017" spans="1:25" ht="13.2">
      <c r="A1017" s="26"/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</row>
    <row r="1018" spans="1:25" ht="13.2">
      <c r="A1018" s="26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</row>
    <row r="1019" spans="1:25" ht="13.2">
      <c r="A1019" s="26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</row>
    <row r="1020" spans="1:25" ht="13.2">
      <c r="A1020" s="26"/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</row>
    <row r="1021" spans="1:25" ht="13.2">
      <c r="A1021" s="26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</row>
    <row r="1022" spans="1:25" ht="13.2">
      <c r="A1022" s="26"/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</row>
    <row r="1023" spans="1:25" ht="13.2">
      <c r="A1023" s="26"/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</row>
    <row r="1024" spans="1:25" ht="13.2">
      <c r="A1024" s="26"/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</row>
    <row r="1025" spans="1:25" ht="13.2">
      <c r="A1025" s="26"/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</row>
    <row r="1026" spans="1:25" ht="13.2">
      <c r="A1026" s="26"/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</row>
    <row r="1027" spans="1:25" ht="13.2">
      <c r="A1027" s="26"/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</row>
    <row r="1028" spans="1:25" ht="13.2">
      <c r="A1028" s="26"/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</row>
    <row r="1029" spans="1:25" ht="13.2">
      <c r="A1029" s="26"/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</row>
  </sheetData>
  <mergeCells count="8">
    <mergeCell ref="A62:A74"/>
    <mergeCell ref="A75:A79"/>
    <mergeCell ref="A80:A108"/>
    <mergeCell ref="F3:G3"/>
    <mergeCell ref="A4:A11"/>
    <mergeCell ref="A12:A19"/>
    <mergeCell ref="A20:A38"/>
    <mergeCell ref="A39:A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Билеты, маршрут</vt:lpstr>
      <vt:lpstr>Финансы</vt:lpstr>
      <vt:lpstr>Раскладка</vt:lpstr>
      <vt:lpstr>Ремнабор</vt:lpstr>
      <vt:lpstr>Берлога снаряженца</vt:lpstr>
      <vt:lpstr>Вес ЛС образец</vt:lpstr>
      <vt:lpstr>Александр вес ЛС</vt:lpstr>
      <vt:lpstr>Николай вес ЛС</vt:lpstr>
      <vt:lpstr>Алиса вес ЛС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2024-07-09T16:45:00Z</dcterms:modified>
</cp:coreProperties>
</file>